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B_PARTS" sheetId="1" state="visible" r:id="rId3"/>
    <sheet name="PURCHASED" sheetId="2" state="visible" r:id="rId4"/>
    <sheet name="HOLD" sheetId="3" state="visible" r:id="rId5"/>
    <sheet name="RFQ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<sst xmlns="http://schemas.openxmlformats.org/spreadsheetml/2006/main" count="293" uniqueCount="231">
  <si>
    <r>
      <rPr>
        <i val="true"/>
        <sz val="9"/>
        <color rgb="FF555555"/>
        <rFont val="Noto Sans CJK SC"/>
        <family val="2"/>
      </rPr>
      <t xml:space="preserve">노란 칸 </t>
    </r>
    <r>
      <rPr>
        <i val="true"/>
        <sz val="9"/>
        <color rgb="FF555555"/>
        <rFont val="Arial"/>
        <family val="0"/>
        <charset val="1"/>
      </rPr>
      <t xml:space="preserve">= </t>
    </r>
    <r>
      <rPr>
        <i val="true"/>
        <sz val="9"/>
        <color rgb="FF555555"/>
        <rFont val="Noto Sans CJK SC"/>
        <family val="2"/>
      </rPr>
      <t xml:space="preserve">제작사 견적 입력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질량 </t>
    </r>
    <r>
      <rPr>
        <i val="true"/>
        <sz val="9"/>
        <color rgb="FF555555"/>
        <rFont val="Arial"/>
        <family val="0"/>
        <charset val="1"/>
      </rPr>
      <t xml:space="preserve">= 3D </t>
    </r>
    <r>
      <rPr>
        <i val="true"/>
        <sz val="9"/>
        <color rgb="FF555555"/>
        <rFont val="Noto Sans CJK SC"/>
        <family val="2"/>
      </rPr>
      <t xml:space="preserve">모델 체적 </t>
    </r>
    <r>
      <rPr>
        <i val="true"/>
        <sz val="9"/>
        <color rgb="FF555555"/>
        <rFont val="Arial"/>
        <family val="0"/>
        <charset val="1"/>
      </rPr>
      <t xml:space="preserve">× 2.68 g/cm³. </t>
    </r>
    <r>
      <rPr>
        <i val="true"/>
        <sz val="9"/>
        <color rgb="FF555555"/>
        <rFont val="Noto Sans CJK SC"/>
        <family val="2"/>
      </rPr>
      <t xml:space="preserve">금액 </t>
    </r>
    <r>
      <rPr>
        <i val="true"/>
        <sz val="9"/>
        <color rgb="FF555555"/>
        <rFont val="Arial"/>
        <family val="0"/>
        <charset val="1"/>
      </rPr>
      <t xml:space="preserve">= </t>
    </r>
    <r>
      <rPr>
        <i val="true"/>
        <sz val="9"/>
        <color rgb="FF555555"/>
        <rFont val="Noto Sans CJK SC"/>
        <family val="2"/>
      </rPr>
      <t xml:space="preserve">수량 </t>
    </r>
    <r>
      <rPr>
        <i val="true"/>
        <sz val="9"/>
        <color rgb="FF555555"/>
        <rFont val="Arial"/>
        <family val="0"/>
        <charset val="1"/>
      </rPr>
      <t xml:space="preserve">× </t>
    </r>
    <r>
      <rPr>
        <i val="true"/>
        <sz val="9"/>
        <color rgb="FF555555"/>
        <rFont val="Noto Sans CJK SC"/>
        <family val="2"/>
      </rPr>
      <t xml:space="preserve">단가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자동</t>
    </r>
    <r>
      <rPr>
        <i val="true"/>
        <sz val="9"/>
        <color rgb="FF555555"/>
        <rFont val="Arial"/>
        <family val="0"/>
        <charset val="1"/>
      </rPr>
      <t xml:space="preserve">).</t>
    </r>
  </si>
  <si>
    <t xml:space="preserve">품번</t>
  </si>
  <si>
    <t xml:space="preserve">품명</t>
  </si>
  <si>
    <t xml:space="preserve">재질</t>
  </si>
  <si>
    <r>
      <rPr>
        <b val="true"/>
        <sz val="10"/>
        <color rgb="FFFFFFFF"/>
        <rFont val="Noto Sans CJK SC"/>
        <family val="2"/>
      </rPr>
      <t xml:space="preserve">두께 </t>
    </r>
    <r>
      <rPr>
        <b val="true"/>
        <sz val="10"/>
        <color rgb="FFFFFFFF"/>
        <rFont val="Arial"/>
        <family val="0"/>
        <charset val="1"/>
      </rPr>
      <t xml:space="preserve">t(mm)</t>
    </r>
  </si>
  <si>
    <t xml:space="preserve">수량</t>
  </si>
  <si>
    <t xml:space="preserve">공정</t>
  </si>
  <si>
    <r>
      <rPr>
        <b val="true"/>
        <sz val="10"/>
        <color rgb="FFFFFFFF"/>
        <rFont val="Arial"/>
        <family val="0"/>
        <charset val="1"/>
      </rPr>
      <t xml:space="preserve">PEM / </t>
    </r>
    <r>
      <rPr>
        <b val="true"/>
        <sz val="10"/>
        <color rgb="FFFFFFFF"/>
        <rFont val="Noto Sans CJK SC"/>
        <family val="2"/>
      </rPr>
      <t xml:space="preserve">후가공</t>
    </r>
  </si>
  <si>
    <t xml:space="preserve">DXF</t>
  </si>
  <si>
    <r>
      <rPr>
        <b val="true"/>
        <sz val="10"/>
        <color rgb="FFFFFFFF"/>
        <rFont val="Noto Sans CJK SC"/>
        <family val="2"/>
      </rPr>
      <t xml:space="preserve">단품 질량</t>
    </r>
    <r>
      <rPr>
        <b val="true"/>
        <sz val="10"/>
        <color rgb="FFFFFFFF"/>
        <rFont val="Arial"/>
        <family val="0"/>
        <charset val="1"/>
      </rPr>
      <t xml:space="preserve">(g, </t>
    </r>
    <r>
      <rPr>
        <b val="true"/>
        <sz val="10"/>
        <color rgb="FFFFFFFF"/>
        <rFont val="Noto Sans CJK SC"/>
        <family val="2"/>
      </rPr>
      <t xml:space="preserve">계산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</si>
  <si>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단가 </t>
    </r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무처리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</si>
  <si>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단가 </t>
    </r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분체도장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</si>
  <si>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금액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</si>
  <si>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금액 </t>
    </r>
    <r>
      <rPr>
        <b val="true"/>
        <sz val="10"/>
        <color rgb="FFFFFFFF"/>
        <rFont val="Arial"/>
        <family val="0"/>
        <charset val="1"/>
      </rPr>
      <t xml:space="preserve">B</t>
    </r>
  </si>
  <si>
    <t xml:space="preserve">P01</t>
  </si>
  <si>
    <t xml:space="preserve">BOTTOM PLATE</t>
  </si>
  <si>
    <t xml:space="preserve">AL5052-H32</t>
  </si>
  <si>
    <t xml:space="preserve">Laser</t>
  </si>
  <si>
    <r>
      <rPr>
        <sz val="9.5"/>
        <rFont val="Arial"/>
        <family val="0"/>
        <charset val="1"/>
      </rPr>
      <t xml:space="preserve">CLSS-M4-2 ×10 (</t>
    </r>
    <r>
      <rPr>
        <sz val="9.5"/>
        <rFont val="Noto Sans CJK SC"/>
        <family val="2"/>
      </rPr>
      <t xml:space="preserve">트레이 </t>
    </r>
    <r>
      <rPr>
        <sz val="9.5"/>
        <rFont val="Arial"/>
        <family val="0"/>
        <charset val="1"/>
      </rPr>
      <t xml:space="preserve">4 + </t>
    </r>
    <r>
      <rPr>
        <sz val="9.5"/>
        <rFont val="Noto Sans CJK SC"/>
        <family val="2"/>
      </rPr>
      <t xml:space="preserve">전장판 </t>
    </r>
    <r>
      <rPr>
        <sz val="9.5"/>
        <rFont val="Arial"/>
        <family val="0"/>
        <charset val="1"/>
      </rPr>
      <t xml:space="preserve">6), CSK ×12</t>
    </r>
  </si>
  <si>
    <t xml:space="preserve">P01_BOTTOM_PLATE.dxf</t>
  </si>
  <si>
    <t xml:space="preserve">P02</t>
  </si>
  <si>
    <t xml:space="preserve">WALL HALF – FRONT (C1/C2/C3)</t>
  </si>
  <si>
    <t xml:space="preserve">Laser + Bend (2×60°, 2×90°)</t>
  </si>
  <si>
    <t xml:space="preserve">CLSS-M3-1 ×18, CLSS-M4-1 ×6</t>
  </si>
  <si>
    <t xml:space="preserve">P02_WALL_HALF_FRONT.dxf</t>
  </si>
  <si>
    <t xml:space="preserve">P03</t>
  </si>
  <si>
    <t xml:space="preserve">WALL HALF – REAR (C4/C5/C6)</t>
  </si>
  <si>
    <t xml:space="preserve">CLSS-M3-1 ×22, CLSS-M4-1 ×6</t>
  </si>
  <si>
    <t xml:space="preserve">P03_WALL_HALF_REAR.dxf</t>
  </si>
  <si>
    <t xml:space="preserve">P04</t>
  </si>
  <si>
    <t xml:space="preserve">TOP COVER</t>
  </si>
  <si>
    <r>
      <rPr>
        <sz val="9.5"/>
        <rFont val="Arial"/>
        <family val="0"/>
        <charset val="1"/>
      </rPr>
      <t xml:space="preserve">— (Ø5.5 ×4). </t>
    </r>
    <r>
      <rPr>
        <sz val="9.5"/>
        <rFont val="Noto Sans CJK SC"/>
        <family val="2"/>
      </rPr>
      <t xml:space="preserve">도장 시 </t>
    </r>
    <r>
      <rPr>
        <sz val="9.5"/>
        <rFont val="Arial"/>
        <family val="0"/>
        <charset val="1"/>
      </rPr>
      <t xml:space="preserve">P11 </t>
    </r>
    <r>
      <rPr>
        <sz val="9.5"/>
        <rFont val="Noto Sans CJK SC"/>
        <family val="2"/>
      </rPr>
      <t xml:space="preserve">접촉부 </t>
    </r>
    <r>
      <rPr>
        <sz val="9.5"/>
        <rFont val="Arial"/>
        <family val="0"/>
        <charset val="1"/>
      </rPr>
      <t xml:space="preserve">140×140 MASK</t>
    </r>
  </si>
  <si>
    <t xml:space="preserve">P04_TOP_COVER.dxf</t>
  </si>
  <si>
    <t xml:space="preserve">P05</t>
  </si>
  <si>
    <t xml:space="preserve">OS1 MOUNT PLATE</t>
  </si>
  <si>
    <t xml:space="preserve">AL6061-T6</t>
  </si>
  <si>
    <t xml:space="preserve">Laser / CNC + Tap</t>
  </si>
  <si>
    <r>
      <rPr>
        <sz val="9.5"/>
        <rFont val="Arial"/>
        <family val="0"/>
        <charset val="1"/>
      </rPr>
      <t xml:space="preserve">M5 TAP ×4 (B). OS1 </t>
    </r>
    <r>
      <rPr>
        <sz val="9.5"/>
        <rFont val="Noto Sans CJK SC"/>
        <family val="2"/>
      </rPr>
      <t xml:space="preserve">접촉면 </t>
    </r>
    <r>
      <rPr>
        <sz val="9.5"/>
        <rFont val="Arial"/>
        <family val="0"/>
        <charset val="1"/>
      </rPr>
      <t xml:space="preserve">Ø100 + </t>
    </r>
    <r>
      <rPr>
        <sz val="9.5"/>
        <rFont val="Noto Sans CJK SC"/>
        <family val="2"/>
      </rPr>
      <t xml:space="preserve">하면 </t>
    </r>
    <r>
      <rPr>
        <sz val="9.5"/>
        <rFont val="Arial"/>
        <family val="0"/>
        <charset val="1"/>
      </rPr>
      <t xml:space="preserve">BARE MASK. OS1 </t>
    </r>
    <r>
      <rPr>
        <sz val="9.5"/>
        <rFont val="Noto Sans CJK SC"/>
        <family val="2"/>
      </rPr>
      <t xml:space="preserve">홀 </t>
    </r>
    <r>
      <rPr>
        <sz val="9.5"/>
        <rFont val="Arial"/>
        <family val="0"/>
        <charset val="1"/>
      </rPr>
      <t xml:space="preserve">HOLD</t>
    </r>
  </si>
  <si>
    <t xml:space="preserve">P05_OS1_PLATE.dxf</t>
  </si>
  <si>
    <t xml:space="preserve">P06</t>
  </si>
  <si>
    <t xml:space="preserve">CAMERA ADAPTER PLATE</t>
  </si>
  <si>
    <t xml:space="preserve">— (lens/holder HOLD, KETI)</t>
  </si>
  <si>
    <t xml:space="preserve">P06_CAMERA_PLATE.dxf</t>
  </si>
  <si>
    <t xml:space="preserve">P07</t>
  </si>
  <si>
    <t xml:space="preserve">REAR SERVICE PANEL</t>
  </si>
  <si>
    <t xml:space="preserve">—</t>
  </si>
  <si>
    <t xml:space="preserve">P07_SERVICE_PANEL.dxf</t>
  </si>
  <si>
    <t xml:space="preserve">P08</t>
  </si>
  <si>
    <t xml:space="preserve">AGX TRAY</t>
  </si>
  <si>
    <t xml:space="preserve">Laser + Bend (4×90°)</t>
  </si>
  <si>
    <r>
      <rPr>
        <sz val="9.5"/>
        <rFont val="Arial"/>
        <family val="0"/>
        <charset val="1"/>
      </rPr>
      <t xml:space="preserve">CSK ×4. 70×70 = ADAPTER/CABLE CLEARANCE (HOLD 5, </t>
    </r>
    <r>
      <rPr>
        <sz val="9.5"/>
        <rFont val="Noto Sans CJK SC"/>
        <family val="2"/>
      </rPr>
      <t xml:space="preserve">그대로 가공</t>
    </r>
    <r>
      <rPr>
        <sz val="9.5"/>
        <rFont val="Arial"/>
        <family val="0"/>
        <charset val="1"/>
      </rPr>
      <t xml:space="preserve">)</t>
    </r>
  </si>
  <si>
    <t xml:space="preserve">P08_AGX_TRAY.dxf</t>
  </si>
  <si>
    <t xml:space="preserve">P09</t>
  </si>
  <si>
    <t xml:space="preserve">WALL SPLICE BRACKET</t>
  </si>
  <si>
    <t xml:space="preserve">Laser + Bend (1×60°)</t>
  </si>
  <si>
    <t xml:space="preserve">P09_SPLICE_BRACKET.dxf</t>
  </si>
  <si>
    <t xml:space="preserve">P10</t>
  </si>
  <si>
    <r>
      <rPr>
        <sz val="9.5"/>
        <rFont val="Arial"/>
        <family val="0"/>
        <charset val="1"/>
      </rPr>
      <t xml:space="preserve">ELECTRICAL PLATE (</t>
    </r>
    <r>
      <rPr>
        <sz val="9.5"/>
        <rFont val="Noto Sans CJK SC"/>
        <family val="2"/>
      </rPr>
      <t xml:space="preserve">탈착식</t>
    </r>
    <r>
      <rPr>
        <sz val="9.5"/>
        <rFont val="Arial"/>
        <family val="0"/>
        <charset val="1"/>
      </rPr>
      <t xml:space="preserve">)</t>
    </r>
  </si>
  <si>
    <r>
      <rPr>
        <sz val="9.5"/>
        <rFont val="Arial"/>
        <family val="0"/>
        <charset val="1"/>
      </rPr>
      <t xml:space="preserve">— (Ø3.4 </t>
    </r>
    <r>
      <rPr>
        <sz val="9.5"/>
        <rFont val="Noto Sans CJK SC"/>
        <family val="2"/>
      </rPr>
      <t xml:space="preserve">그리드</t>
    </r>
    <r>
      <rPr>
        <sz val="9.5"/>
        <rFont val="Arial"/>
        <family val="0"/>
        <charset val="1"/>
      </rPr>
      <t xml:space="preserve">, PEM </t>
    </r>
    <r>
      <rPr>
        <sz val="9.5"/>
        <rFont val="Noto Sans CJK SC"/>
        <family val="2"/>
      </rPr>
      <t xml:space="preserve">없음</t>
    </r>
    <r>
      <rPr>
        <sz val="9.5"/>
        <rFont val="Arial"/>
        <family val="0"/>
        <charset val="1"/>
      </rPr>
      <t xml:space="preserve">)</t>
    </r>
  </si>
  <si>
    <t xml:space="preserve">P10_ELEC_PLATE.dxf</t>
  </si>
  <si>
    <t xml:space="preserve">P11</t>
  </si>
  <si>
    <t xml:space="preserve">OS1 RISER FRAME</t>
  </si>
  <si>
    <t xml:space="preserve">CNC + Tap (M5 ×8, 10DP)</t>
  </si>
  <si>
    <r>
      <rPr>
        <sz val="9.5"/>
        <rFont val="Noto Sans CJK SC"/>
        <family val="2"/>
      </rPr>
      <t xml:space="preserve">무처리 </t>
    </r>
    <r>
      <rPr>
        <sz val="9.5"/>
        <rFont val="Arial"/>
        <family val="0"/>
        <charset val="1"/>
      </rPr>
      <t xml:space="preserve">BARE (</t>
    </r>
    <r>
      <rPr>
        <sz val="9.5"/>
        <rFont val="Noto Sans CJK SC"/>
        <family val="2"/>
      </rPr>
      <t xml:space="preserve">도장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아노다이징 금지</t>
    </r>
    <r>
      <rPr>
        <sz val="9.5"/>
        <rFont val="Arial"/>
        <family val="0"/>
        <charset val="1"/>
      </rPr>
      <t xml:space="preserve">), </t>
    </r>
    <r>
      <rPr>
        <sz val="9.5"/>
        <rFont val="Noto Sans CJK SC"/>
        <family val="2"/>
      </rPr>
      <t xml:space="preserve">평면도 </t>
    </r>
    <r>
      <rPr>
        <sz val="9.5"/>
        <rFont val="Arial"/>
        <family val="0"/>
        <charset val="1"/>
      </rPr>
      <t xml:space="preserve">0.05</t>
    </r>
  </si>
  <si>
    <r>
      <rPr>
        <sz val="9.5"/>
        <rFont val="Arial"/>
        <family val="0"/>
        <charset val="1"/>
      </rPr>
      <t xml:space="preserve">P11_OS1_RISER.dxf (</t>
    </r>
    <r>
      <rPr>
        <sz val="9.5"/>
        <rFont val="Noto Sans CJK SC"/>
        <family val="2"/>
      </rPr>
      <t xml:space="preserve">외형 참고</t>
    </r>
    <r>
      <rPr>
        <sz val="9.5"/>
        <rFont val="Arial"/>
        <family val="0"/>
        <charset val="1"/>
      </rPr>
      <t xml:space="preserve">) + </t>
    </r>
    <r>
      <rPr>
        <sz val="9.5"/>
        <rFont val="Noto Sans CJK SC"/>
        <family val="2"/>
      </rPr>
      <t xml:space="preserve">도면 </t>
    </r>
    <r>
      <rPr>
        <sz val="9.5"/>
        <rFont val="Arial"/>
        <family val="0"/>
        <charset val="1"/>
      </rPr>
      <t xml:space="preserve">SHEET 8</t>
    </r>
  </si>
  <si>
    <t xml:space="preserve">합계</t>
  </si>
  <si>
    <r>
      <rPr>
        <i val="true"/>
        <sz val="9"/>
        <rFont val="Arial"/>
        <family val="0"/>
        <charset val="1"/>
      </rPr>
      <t xml:space="preserve">PEM </t>
    </r>
    <r>
      <rPr>
        <i val="true"/>
        <sz val="9"/>
        <rFont val="Noto Sans CJK SC"/>
        <family val="2"/>
      </rPr>
      <t xml:space="preserve">총계 </t>
    </r>
    <r>
      <rPr>
        <i val="true"/>
        <sz val="9"/>
        <rFont val="Arial"/>
        <family val="0"/>
        <charset val="1"/>
      </rPr>
      <t xml:space="preserve">= 10 + 24 + 28 = 62 ea (REV8 114)</t>
    </r>
  </si>
  <si>
    <r>
      <rPr>
        <i val="true"/>
        <sz val="9"/>
        <rFont val="Noto Sans CJK SC"/>
        <family val="2"/>
      </rPr>
      <t xml:space="preserve">표면처리 </t>
    </r>
    <r>
      <rPr>
        <i val="true"/>
        <sz val="9"/>
        <rFont val="Arial"/>
        <family val="0"/>
        <charset val="1"/>
      </rPr>
      <t xml:space="preserve">[A] </t>
    </r>
    <r>
      <rPr>
        <i val="true"/>
        <sz val="9"/>
        <rFont val="Noto Sans CJK SC"/>
        <family val="2"/>
      </rPr>
      <t xml:space="preserve">무처리 </t>
    </r>
    <r>
      <rPr>
        <i val="true"/>
        <sz val="9"/>
        <rFont val="Arial"/>
        <family val="0"/>
        <charset val="1"/>
      </rPr>
      <t xml:space="preserve">/ [B] </t>
    </r>
    <r>
      <rPr>
        <i val="true"/>
        <sz val="9"/>
        <rFont val="Noto Sans CJK SC"/>
        <family val="2"/>
      </rPr>
      <t xml:space="preserve">흑색 분체도장 — 열접촉면 </t>
    </r>
    <r>
      <rPr>
        <i val="true"/>
        <sz val="9"/>
        <rFont val="Arial"/>
        <family val="0"/>
        <charset val="1"/>
      </rPr>
      <t xml:space="preserve">BARE </t>
    </r>
    <r>
      <rPr>
        <i val="true"/>
        <sz val="9"/>
        <rFont val="Noto Sans CJK SC"/>
        <family val="2"/>
      </rPr>
      <t xml:space="preserve">마스킹</t>
    </r>
    <r>
      <rPr>
        <i val="true"/>
        <sz val="9"/>
        <rFont val="Arial"/>
        <family val="0"/>
        <charset val="1"/>
      </rPr>
      <t xml:space="preserve">: P05 </t>
    </r>
    <r>
      <rPr>
        <i val="true"/>
        <sz val="9"/>
        <rFont val="Noto Sans CJK SC"/>
        <family val="2"/>
      </rPr>
      <t xml:space="preserve">상면 </t>
    </r>
    <r>
      <rPr>
        <i val="true"/>
        <sz val="9"/>
        <rFont val="Arial"/>
        <family val="0"/>
        <charset val="1"/>
      </rPr>
      <t xml:space="preserve">Ø100 + </t>
    </r>
    <r>
      <rPr>
        <i val="true"/>
        <sz val="9"/>
        <rFont val="Noto Sans CJK SC"/>
        <family val="2"/>
      </rPr>
      <t xml:space="preserve">하면</t>
    </r>
    <r>
      <rPr>
        <i val="true"/>
        <sz val="9"/>
        <rFont val="Arial"/>
        <family val="0"/>
        <charset val="1"/>
      </rPr>
      <t xml:space="preserve">, P11 </t>
    </r>
    <r>
      <rPr>
        <i val="true"/>
        <sz val="9"/>
        <rFont val="Noto Sans CJK SC"/>
        <family val="2"/>
      </rPr>
      <t xml:space="preserve">전체 무처리</t>
    </r>
    <r>
      <rPr>
        <i val="true"/>
        <sz val="9"/>
        <rFont val="Arial"/>
        <family val="0"/>
        <charset val="1"/>
      </rPr>
      <t xml:space="preserve">, P04 </t>
    </r>
    <r>
      <rPr>
        <i val="true"/>
        <sz val="9"/>
        <rFont val="Noto Sans CJK SC"/>
        <family val="2"/>
      </rPr>
      <t xml:space="preserve">상면 </t>
    </r>
    <r>
      <rPr>
        <i val="true"/>
        <sz val="9"/>
        <rFont val="Arial"/>
        <family val="0"/>
        <charset val="1"/>
      </rPr>
      <t xml:space="preserve">140×140. </t>
    </r>
    <r>
      <rPr>
        <i val="true"/>
        <sz val="9"/>
        <rFont val="Noto Sans CJK SC"/>
        <family val="2"/>
      </rPr>
      <t xml:space="preserve">공차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검사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도면 </t>
    </r>
    <r>
      <rPr>
        <i val="true"/>
        <sz val="9"/>
        <rFont val="Arial"/>
        <family val="0"/>
        <charset val="1"/>
      </rPr>
      <t xml:space="preserve">SHEET 1, 10.</t>
    </r>
  </si>
  <si>
    <r>
      <rPr>
        <i val="true"/>
        <sz val="9"/>
        <color rgb="FF555555"/>
        <rFont val="Noto Sans CJK SC"/>
        <family val="2"/>
      </rPr>
      <t xml:space="preserve">노란 칸 </t>
    </r>
    <r>
      <rPr>
        <i val="true"/>
        <sz val="9"/>
        <color rgb="FF555555"/>
        <rFont val="Arial"/>
        <family val="0"/>
        <charset val="1"/>
      </rPr>
      <t xml:space="preserve">= </t>
    </r>
    <r>
      <rPr>
        <i val="true"/>
        <sz val="9"/>
        <color rgb="FF555555"/>
        <rFont val="Noto Sans CJK SC"/>
        <family val="2"/>
      </rPr>
      <t xml:space="preserve">입력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주문 수량 </t>
    </r>
    <r>
      <rPr>
        <i val="true"/>
        <sz val="9"/>
        <color rgb="FF555555"/>
        <rFont val="Arial"/>
        <family val="0"/>
        <charset val="1"/>
      </rPr>
      <t xml:space="preserve">= </t>
    </r>
    <r>
      <rPr>
        <i val="true"/>
        <sz val="9"/>
        <color rgb="FF555555"/>
        <rFont val="Noto Sans CJK SC"/>
        <family val="2"/>
      </rPr>
      <t xml:space="preserve">필요 </t>
    </r>
    <r>
      <rPr>
        <i val="true"/>
        <sz val="9"/>
        <color rgb="FF555555"/>
        <rFont val="Arial"/>
        <family val="0"/>
        <charset val="1"/>
      </rPr>
      <t xml:space="preserve">+ </t>
    </r>
    <r>
      <rPr>
        <i val="true"/>
        <sz val="9"/>
        <color rgb="FF555555"/>
        <rFont val="Noto Sans CJK SC"/>
        <family val="2"/>
      </rPr>
      <t xml:space="preserve">예비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자동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Noto Sans CJK SC"/>
        <family val="2"/>
      </rPr>
      <t xml:space="preserve">구매처 예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Noto Sans CJK SC"/>
        <family val="2"/>
      </rPr>
      <t xml:space="preserve">미스미코리아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Noto Sans CJK SC"/>
        <family val="2"/>
      </rPr>
      <t xml:space="preserve">나사몰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Noto Sans CJK SC"/>
        <family val="2"/>
      </rPr>
      <t xml:space="preserve">디바이스마트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Noto Sans CJK SC"/>
        <family val="2"/>
      </rPr>
      <t xml:space="preserve">엘레파츠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</si>
  <si>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구분</t>
  </si>
  <si>
    <t xml:space="preserve">품목</t>
  </si>
  <si>
    <r>
      <rPr>
        <b val="true"/>
        <sz val="10"/>
        <color rgb="FFFFFFFF"/>
        <rFont val="Noto Sans CJK SC"/>
        <family val="2"/>
      </rPr>
      <t xml:space="preserve">규격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재질</t>
    </r>
  </si>
  <si>
    <t xml:space="preserve">필요 수량</t>
  </si>
  <si>
    <t xml:space="preserve">예비</t>
  </si>
  <si>
    <t xml:space="preserve">주문 수량</t>
  </si>
  <si>
    <t xml:space="preserve">사용처</t>
  </si>
  <si>
    <t xml:space="preserve">비고</t>
  </si>
  <si>
    <r>
      <rPr>
        <b val="true"/>
        <sz val="10"/>
        <color rgb="FFFFFFFF"/>
        <rFont val="Noto Sans CJK SC"/>
        <family val="2"/>
      </rPr>
      <t xml:space="preserve">단가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</si>
  <si>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</si>
  <si>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구매처</t>
  </si>
  <si>
    <t xml:space="preserve">FASTENER</t>
  </si>
  <si>
    <r>
      <rPr>
        <sz val="9.5"/>
        <rFont val="Arial"/>
        <family val="0"/>
        <charset val="1"/>
      </rPr>
      <t xml:space="preserve">M3×8 </t>
    </r>
    <r>
      <rPr>
        <sz val="9.5"/>
        <rFont val="Noto Sans CJK SC"/>
        <family val="2"/>
      </rPr>
      <t xml:space="preserve">버튼헤드 </t>
    </r>
    <r>
      <rPr>
        <sz val="9.5"/>
        <rFont val="Arial"/>
        <family val="0"/>
        <charset val="1"/>
      </rPr>
      <t xml:space="preserve">(ISO 7380)</t>
    </r>
  </si>
  <si>
    <t xml:space="preserve">SUS304 A2</t>
  </si>
  <si>
    <r>
      <rPr>
        <sz val="9.5"/>
        <rFont val="Noto Sans CJK SC"/>
        <family val="2"/>
      </rPr>
      <t xml:space="preserve">커버 </t>
    </r>
    <r>
      <rPr>
        <sz val="9.5"/>
        <rFont val="Arial"/>
        <family val="0"/>
        <charset val="1"/>
      </rPr>
      <t xml:space="preserve">12, </t>
    </r>
    <r>
      <rPr>
        <sz val="9.5"/>
        <rFont val="Noto Sans CJK SC"/>
        <family val="2"/>
      </rPr>
      <t xml:space="preserve">카메라 </t>
    </r>
    <r>
      <rPr>
        <sz val="9.5"/>
        <rFont val="Arial"/>
        <family val="0"/>
        <charset val="1"/>
      </rPr>
      <t xml:space="preserve">24, </t>
    </r>
    <r>
      <rPr>
        <sz val="9.5"/>
        <rFont val="Noto Sans CJK SC"/>
        <family val="2"/>
      </rPr>
      <t xml:space="preserve">서비스 </t>
    </r>
    <r>
      <rPr>
        <sz val="9.5"/>
        <rFont val="Arial"/>
        <family val="0"/>
        <charset val="1"/>
      </rPr>
      <t xml:space="preserve">4</t>
    </r>
  </si>
  <si>
    <r>
      <rPr>
        <sz val="9.5"/>
        <rFont val="Arial"/>
        <family val="0"/>
        <charset val="1"/>
      </rPr>
      <t xml:space="preserve">M4×8 </t>
    </r>
    <r>
      <rPr>
        <sz val="9.5"/>
        <rFont val="Noto Sans CJK SC"/>
        <family val="2"/>
      </rPr>
      <t xml:space="preserve">접시머리 육각홈 </t>
    </r>
    <r>
      <rPr>
        <sz val="9.5"/>
        <rFont val="Arial"/>
        <family val="0"/>
        <charset val="1"/>
      </rPr>
      <t xml:space="preserve">(ISO 10642)</t>
    </r>
  </si>
  <si>
    <r>
      <rPr>
        <sz val="9.5"/>
        <rFont val="Noto Sans CJK SC"/>
        <family val="2"/>
      </rPr>
      <t xml:space="preserve">하판 </t>
    </r>
    <r>
      <rPr>
        <sz val="9.5"/>
        <rFont val="Arial"/>
        <family val="0"/>
        <charset val="1"/>
      </rPr>
      <t xml:space="preserve">12, </t>
    </r>
    <r>
      <rPr>
        <sz val="9.5"/>
        <rFont val="Noto Sans CJK SC"/>
        <family val="2"/>
      </rPr>
      <t xml:space="preserve">트레이 </t>
    </r>
    <r>
      <rPr>
        <sz val="9.5"/>
        <rFont val="Arial"/>
        <family val="0"/>
        <charset val="1"/>
      </rPr>
      <t xml:space="preserve">4</t>
    </r>
  </si>
  <si>
    <r>
      <rPr>
        <sz val="9.5"/>
        <rFont val="Arial"/>
        <family val="0"/>
        <charset val="1"/>
      </rPr>
      <t xml:space="preserve">M5×12 </t>
    </r>
    <r>
      <rPr>
        <sz val="9.5"/>
        <rFont val="Noto Sans CJK SC"/>
        <family val="2"/>
      </rPr>
      <t xml:space="preserve">육각홈 </t>
    </r>
    <r>
      <rPr>
        <sz val="9.5"/>
        <rFont val="Arial"/>
        <family val="0"/>
        <charset val="1"/>
      </rPr>
      <t xml:space="preserve">(ISO 4762) + </t>
    </r>
    <r>
      <rPr>
        <sz val="9.5"/>
        <rFont val="Noto Sans CJK SC"/>
        <family val="2"/>
      </rPr>
      <t xml:space="preserve">평와셔 </t>
    </r>
    <r>
      <rPr>
        <sz val="9.5"/>
        <rFont val="Arial"/>
        <family val="0"/>
        <charset val="1"/>
      </rPr>
      <t xml:space="preserve">M5</t>
    </r>
  </si>
  <si>
    <r>
      <rPr>
        <sz val="9.5"/>
        <rFont val="Arial"/>
        <family val="0"/>
        <charset val="1"/>
      </rPr>
      <t xml:space="preserve">P05 → P11 </t>
    </r>
    <r>
      <rPr>
        <sz val="9.5"/>
        <rFont val="Noto Sans CJK SC"/>
        <family val="2"/>
      </rPr>
      <t xml:space="preserve">탭 </t>
    </r>
    <r>
      <rPr>
        <sz val="9.5"/>
        <rFont val="Arial"/>
        <family val="0"/>
        <charset val="1"/>
      </rPr>
      <t xml:space="preserve">A</t>
    </r>
  </si>
  <si>
    <r>
      <rPr>
        <sz val="9.5"/>
        <rFont val="Arial"/>
        <family val="0"/>
        <charset val="1"/>
      </rPr>
      <t xml:space="preserve">M5×10 </t>
    </r>
    <r>
      <rPr>
        <sz val="9.5"/>
        <rFont val="Noto Sans CJK SC"/>
        <family val="2"/>
      </rPr>
      <t xml:space="preserve">육각홈 </t>
    </r>
    <r>
      <rPr>
        <sz val="9.5"/>
        <rFont val="Arial"/>
        <family val="0"/>
        <charset val="1"/>
      </rPr>
      <t xml:space="preserve">(ISO 4762) + </t>
    </r>
    <r>
      <rPr>
        <sz val="9.5"/>
        <rFont val="Noto Sans CJK SC"/>
        <family val="2"/>
      </rPr>
      <t xml:space="preserve">평와셔 </t>
    </r>
    <r>
      <rPr>
        <sz val="9.5"/>
        <rFont val="Arial"/>
        <family val="0"/>
        <charset val="1"/>
      </rPr>
      <t xml:space="preserve">M5</t>
    </r>
  </si>
  <si>
    <r>
      <rPr>
        <sz val="9.5"/>
        <rFont val="Arial"/>
        <family val="0"/>
        <charset val="1"/>
      </rPr>
      <t xml:space="preserve">P04 </t>
    </r>
    <r>
      <rPr>
        <sz val="9.5"/>
        <rFont val="Noto Sans CJK SC"/>
        <family val="2"/>
      </rPr>
      <t xml:space="preserve">하면 → </t>
    </r>
    <r>
      <rPr>
        <sz val="9.5"/>
        <rFont val="Arial"/>
        <family val="0"/>
        <charset val="1"/>
      </rPr>
      <t xml:space="preserve">P11 </t>
    </r>
    <r>
      <rPr>
        <sz val="9.5"/>
        <rFont val="Noto Sans CJK SC"/>
        <family val="2"/>
      </rPr>
      <t xml:space="preserve">탭 </t>
    </r>
    <r>
      <rPr>
        <sz val="9.5"/>
        <rFont val="Arial"/>
        <family val="0"/>
        <charset val="1"/>
      </rPr>
      <t xml:space="preserve">B</t>
    </r>
  </si>
  <si>
    <r>
      <rPr>
        <sz val="9.5"/>
        <rFont val="Noto Sans CJK SC"/>
        <family val="2"/>
      </rPr>
      <t xml:space="preserve">직결 옵션 시 → </t>
    </r>
    <r>
      <rPr>
        <sz val="9.5"/>
        <rFont val="Arial"/>
        <family val="0"/>
        <charset val="1"/>
      </rPr>
      <t xml:space="preserve">P05 </t>
    </r>
    <r>
      <rPr>
        <sz val="9.5"/>
        <rFont val="Noto Sans CJK SC"/>
        <family val="2"/>
      </rPr>
      <t xml:space="preserve">탭 </t>
    </r>
    <r>
      <rPr>
        <sz val="9.5"/>
        <rFont val="Arial"/>
        <family val="0"/>
        <charset val="1"/>
      </rPr>
      <t xml:space="preserve">B</t>
    </r>
  </si>
  <si>
    <r>
      <rPr>
        <sz val="9.5"/>
        <rFont val="Arial"/>
        <family val="0"/>
        <charset val="1"/>
      </rPr>
      <t xml:space="preserve">M8×16 </t>
    </r>
    <r>
      <rPr>
        <sz val="9.5"/>
        <rFont val="Noto Sans CJK SC"/>
        <family val="2"/>
      </rPr>
      <t xml:space="preserve">육각홈 </t>
    </r>
    <r>
      <rPr>
        <sz val="9.5"/>
        <rFont val="Arial"/>
        <family val="0"/>
        <charset val="1"/>
      </rPr>
      <t xml:space="preserve">(ISO 4762) + </t>
    </r>
    <r>
      <rPr>
        <sz val="9.5"/>
        <rFont val="Noto Sans CJK SC"/>
        <family val="2"/>
      </rPr>
      <t xml:space="preserve">평와셔 </t>
    </r>
    <r>
      <rPr>
        <sz val="9.5"/>
        <rFont val="Arial"/>
        <family val="0"/>
        <charset val="1"/>
      </rPr>
      <t xml:space="preserve">M8 (ISO 7089)</t>
    </r>
  </si>
  <si>
    <t xml:space="preserve">레일 이어 슬롯</t>
  </si>
  <si>
    <r>
      <rPr>
        <sz val="9.5"/>
        <rFont val="Noto Sans CJK SC"/>
        <family val="2"/>
      </rPr>
      <t xml:space="preserve">규격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길이 </t>
    </r>
    <r>
      <rPr>
        <sz val="9.5"/>
        <rFont val="Arial"/>
        <family val="0"/>
        <charset val="1"/>
      </rPr>
      <t xml:space="preserve">= </t>
    </r>
    <r>
      <rPr>
        <sz val="9.5"/>
        <rFont val="Noto Sans CJK SC"/>
        <family val="2"/>
      </rPr>
      <t xml:space="preserve">레일 확인 후 </t>
    </r>
    <r>
      <rPr>
        <sz val="9.5"/>
        <rFont val="Arial"/>
        <family val="0"/>
        <charset val="1"/>
      </rPr>
      <t xml:space="preserve">(HOLD 2)</t>
    </r>
  </si>
  <si>
    <r>
      <rPr>
        <sz val="9.5"/>
        <rFont val="Arial"/>
        <family val="0"/>
        <charset val="1"/>
      </rPr>
      <t xml:space="preserve">SCOUT </t>
    </r>
    <r>
      <rPr>
        <sz val="9.5"/>
        <rFont val="Noto Sans CJK SC"/>
        <family val="2"/>
      </rPr>
      <t xml:space="preserve">레일 </t>
    </r>
    <r>
      <rPr>
        <sz val="9.5"/>
        <rFont val="Arial"/>
        <family val="0"/>
        <charset val="1"/>
      </rPr>
      <t xml:space="preserve">T-</t>
    </r>
    <r>
      <rPr>
        <sz val="9.5"/>
        <rFont val="Noto Sans CJK SC"/>
        <family val="2"/>
      </rPr>
      <t xml:space="preserve">너트 </t>
    </r>
    <r>
      <rPr>
        <sz val="9.5"/>
        <rFont val="Arial"/>
        <family val="0"/>
        <charset val="1"/>
      </rPr>
      <t xml:space="preserve">M8</t>
    </r>
  </si>
  <si>
    <t xml:space="preserve">레일 규격 따름</t>
  </si>
  <si>
    <t xml:space="preserve">레일</t>
  </si>
  <si>
    <r>
      <rPr>
        <sz val="9.5"/>
        <rFont val="Arial"/>
        <family val="0"/>
        <charset val="1"/>
      </rPr>
      <t xml:space="preserve">HOLD 2 — </t>
    </r>
    <r>
      <rPr>
        <sz val="9.5"/>
        <rFont val="Noto Sans CJK SC"/>
        <family val="2"/>
      </rPr>
      <t xml:space="preserve">레일 피치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홈 폭 확인</t>
    </r>
  </si>
  <si>
    <r>
      <rPr>
        <sz val="9.5"/>
        <rFont val="Arial"/>
        <family val="0"/>
        <charset val="1"/>
      </rPr>
      <t xml:space="preserve">M3×10 </t>
    </r>
    <r>
      <rPr>
        <sz val="9.5"/>
        <rFont val="Noto Sans CJK SC"/>
        <family val="2"/>
      </rPr>
      <t xml:space="preserve">육각홈 </t>
    </r>
    <r>
      <rPr>
        <sz val="9.5"/>
        <rFont val="Arial"/>
        <family val="0"/>
        <charset val="1"/>
      </rPr>
      <t xml:space="preserve">+ M3 </t>
    </r>
    <r>
      <rPr>
        <sz val="9.5"/>
        <rFont val="Noto Sans CJK SC"/>
        <family val="2"/>
      </rPr>
      <t xml:space="preserve">나일록 너트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와셔</t>
    </r>
  </si>
  <si>
    <r>
      <rPr>
        <sz val="9.5"/>
        <rFont val="Arial"/>
        <family val="0"/>
        <charset val="1"/>
      </rPr>
      <t xml:space="preserve">D-size </t>
    </r>
    <r>
      <rPr>
        <sz val="9.5"/>
        <rFont val="Noto Sans CJK SC"/>
        <family val="2"/>
      </rPr>
      <t xml:space="preserve">커넥터 </t>
    </r>
    <r>
      <rPr>
        <sz val="9.5"/>
        <rFont val="Arial"/>
        <family val="0"/>
        <charset val="1"/>
      </rPr>
      <t xml:space="preserve">×3</t>
    </r>
  </si>
  <si>
    <r>
      <rPr>
        <sz val="9.5"/>
        <rFont val="Arial"/>
        <family val="0"/>
        <charset val="1"/>
      </rPr>
      <t xml:space="preserve">M4 </t>
    </r>
    <r>
      <rPr>
        <sz val="9.5"/>
        <rFont val="Noto Sans CJK SC"/>
        <family val="2"/>
      </rPr>
      <t xml:space="preserve">육각 스탠드오프 </t>
    </r>
    <r>
      <rPr>
        <sz val="9.5"/>
        <rFont val="Arial"/>
        <family val="0"/>
        <charset val="1"/>
      </rPr>
      <t xml:space="preserve">M-F 25 (</t>
    </r>
    <r>
      <rPr>
        <sz val="9.5"/>
        <rFont val="Noto Sans CJK SC"/>
        <family val="2"/>
      </rPr>
      <t xml:space="preserve">수 </t>
    </r>
    <r>
      <rPr>
        <sz val="9.5"/>
        <rFont val="Arial"/>
        <family val="0"/>
        <charset val="1"/>
      </rPr>
      <t xml:space="preserve">6)</t>
    </r>
  </si>
  <si>
    <r>
      <rPr>
        <sz val="9.5"/>
        <rFont val="Arial"/>
        <family val="0"/>
        <charset val="1"/>
      </rPr>
      <t xml:space="preserve">Al </t>
    </r>
    <r>
      <rPr>
        <sz val="9.5"/>
        <rFont val="Noto Sans CJK SC"/>
        <family val="2"/>
      </rPr>
      <t xml:space="preserve">또는 황동</t>
    </r>
  </si>
  <si>
    <r>
      <rPr>
        <sz val="9.5"/>
        <rFont val="Arial"/>
        <family val="0"/>
        <charset val="1"/>
      </rPr>
      <t xml:space="preserve">AGX </t>
    </r>
    <r>
      <rPr>
        <sz val="9.5"/>
        <rFont val="Noto Sans CJK SC"/>
        <family val="2"/>
      </rPr>
      <t xml:space="preserve">트레이</t>
    </r>
  </si>
  <si>
    <r>
      <rPr>
        <sz val="9.5"/>
        <rFont val="Arial"/>
        <family val="0"/>
        <charset val="1"/>
      </rPr>
      <t xml:space="preserve">30/35</t>
    </r>
    <r>
      <rPr>
        <sz val="9.5"/>
        <rFont val="Noto Sans CJK SC"/>
        <family val="2"/>
      </rPr>
      <t xml:space="preserve">는 </t>
    </r>
    <r>
      <rPr>
        <sz val="9.5"/>
        <rFont val="Arial"/>
        <family val="0"/>
        <charset val="1"/>
      </rPr>
      <t xml:space="preserve">B0473 fit check </t>
    </r>
    <r>
      <rPr>
        <sz val="9.5"/>
        <rFont val="Noto Sans CJK SC"/>
        <family val="2"/>
      </rPr>
      <t xml:space="preserve">결과 </t>
    </r>
    <r>
      <rPr>
        <sz val="9.5"/>
        <rFont val="Arial"/>
        <family val="0"/>
        <charset val="1"/>
      </rPr>
      <t xml:space="preserve">(HOLD 5)</t>
    </r>
  </si>
  <si>
    <r>
      <rPr>
        <sz val="9.5"/>
        <rFont val="Arial"/>
        <family val="0"/>
        <charset val="1"/>
      </rPr>
      <t xml:space="preserve">M4 </t>
    </r>
    <r>
      <rPr>
        <sz val="9.5"/>
        <rFont val="Noto Sans CJK SC"/>
        <family val="2"/>
      </rPr>
      <t xml:space="preserve">육각 스탠드오프 </t>
    </r>
    <r>
      <rPr>
        <sz val="9.5"/>
        <rFont val="Arial"/>
        <family val="0"/>
        <charset val="1"/>
      </rPr>
      <t xml:space="preserve">M-F 30 / 35</t>
    </r>
  </si>
  <si>
    <r>
      <rPr>
        <sz val="9.5"/>
        <rFont val="Arial"/>
        <family val="0"/>
        <charset val="1"/>
      </rPr>
      <t xml:space="preserve">AGX </t>
    </r>
    <r>
      <rPr>
        <sz val="9.5"/>
        <rFont val="Noto Sans CJK SC"/>
        <family val="2"/>
      </rPr>
      <t xml:space="preserve">트레이 높이 조정</t>
    </r>
  </si>
  <si>
    <t xml:space="preserve">옵션</t>
  </si>
  <si>
    <r>
      <rPr>
        <sz val="9.5"/>
        <rFont val="Noto Sans CJK SC"/>
        <family val="2"/>
      </rPr>
      <t xml:space="preserve">블라인드 리벳 </t>
    </r>
    <r>
      <rPr>
        <sz val="9.5"/>
        <rFont val="Arial"/>
        <family val="0"/>
        <charset val="1"/>
      </rPr>
      <t xml:space="preserve">Ø3.2 </t>
    </r>
    <r>
      <rPr>
        <sz val="9.5"/>
        <rFont val="Noto Sans CJK SC"/>
        <family val="2"/>
      </rPr>
      <t xml:space="preserve">돔헤드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그립 </t>
    </r>
    <r>
      <rPr>
        <sz val="9.5"/>
        <rFont val="Arial"/>
        <family val="0"/>
        <charset val="1"/>
      </rPr>
      <t xml:space="preserve">3.0~4.8</t>
    </r>
  </si>
  <si>
    <t xml:space="preserve">Al/Al</t>
  </si>
  <si>
    <t xml:space="preserve">벽 스플라이스</t>
  </si>
  <si>
    <t xml:space="preserve">제작사 조립 시 제작사 지급 가능</t>
  </si>
  <si>
    <r>
      <rPr>
        <sz val="9.5"/>
        <rFont val="Arial"/>
        <family val="0"/>
        <charset val="1"/>
      </rPr>
      <t xml:space="preserve">M4 </t>
    </r>
    <r>
      <rPr>
        <sz val="9.5"/>
        <rFont val="Noto Sans CJK SC"/>
        <family val="2"/>
      </rPr>
      <t xml:space="preserve">육각 스탠드오프 </t>
    </r>
    <r>
      <rPr>
        <sz val="9.5"/>
        <rFont val="Arial"/>
        <family val="0"/>
        <charset val="1"/>
      </rPr>
      <t xml:space="preserve">M-F 10 (</t>
    </r>
    <r>
      <rPr>
        <sz val="9.5"/>
        <rFont val="Noto Sans CJK SC"/>
        <family val="2"/>
      </rPr>
      <t xml:space="preserve">수 </t>
    </r>
    <r>
      <rPr>
        <sz val="9.5"/>
        <rFont val="Arial"/>
        <family val="0"/>
        <charset val="1"/>
      </rPr>
      <t xml:space="preserve">6)</t>
    </r>
  </si>
  <si>
    <r>
      <rPr>
        <sz val="9.5"/>
        <rFont val="Arial"/>
        <family val="0"/>
        <charset val="1"/>
      </rPr>
      <t xml:space="preserve">P10 </t>
    </r>
    <r>
      <rPr>
        <sz val="9.5"/>
        <rFont val="Noto Sans CJK SC"/>
        <family val="2"/>
      </rPr>
      <t xml:space="preserve">전장판</t>
    </r>
  </si>
  <si>
    <r>
      <rPr>
        <sz val="9.5"/>
        <rFont val="Arial"/>
        <family val="0"/>
        <charset val="1"/>
      </rPr>
      <t xml:space="preserve">M4×8 </t>
    </r>
    <r>
      <rPr>
        <sz val="9.5"/>
        <rFont val="Noto Sans CJK SC"/>
        <family val="2"/>
      </rPr>
      <t xml:space="preserve">버튼헤드 </t>
    </r>
    <r>
      <rPr>
        <sz val="9.5"/>
        <rFont val="Arial"/>
        <family val="0"/>
        <charset val="1"/>
      </rPr>
      <t xml:space="preserve">(ISO 7380)</t>
    </r>
  </si>
  <si>
    <r>
      <rPr>
        <sz val="9.5"/>
        <rFont val="Arial"/>
        <family val="0"/>
        <charset val="1"/>
      </rPr>
      <t xml:space="preserve">P10 → </t>
    </r>
    <r>
      <rPr>
        <sz val="9.5"/>
        <rFont val="Noto Sans CJK SC"/>
        <family val="2"/>
      </rPr>
      <t xml:space="preserve">스탠드오프</t>
    </r>
  </si>
  <si>
    <r>
      <rPr>
        <sz val="9.5"/>
        <rFont val="Arial"/>
        <family val="0"/>
        <charset val="1"/>
      </rPr>
      <t xml:space="preserve">M3 </t>
    </r>
    <r>
      <rPr>
        <sz val="9.5"/>
        <rFont val="Noto Sans CJK SC"/>
        <family val="2"/>
      </rPr>
      <t xml:space="preserve">볼트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나일론 스페이서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나일록 너트 키트</t>
    </r>
  </si>
  <si>
    <t xml:space="preserve">Nylon/SUS</t>
  </si>
  <si>
    <r>
      <rPr>
        <sz val="9.5"/>
        <rFont val="Arial"/>
        <family val="0"/>
        <charset val="1"/>
      </rPr>
      <t xml:space="preserve">P10 </t>
    </r>
    <r>
      <rPr>
        <sz val="9.5"/>
        <rFont val="Noto Sans CJK SC"/>
        <family val="2"/>
      </rPr>
      <t xml:space="preserve">부품 </t>
    </r>
    <r>
      <rPr>
        <sz val="9.5"/>
        <rFont val="Arial"/>
        <family val="0"/>
        <charset val="1"/>
      </rPr>
      <t xml:space="preserve">(DC/DC, CAN Pal, WAGO, 5G)</t>
    </r>
  </si>
  <si>
    <t xml:space="preserve">M3 6~20mm</t>
  </si>
  <si>
    <r>
      <rPr>
        <sz val="9.5"/>
        <rFont val="Arial"/>
        <family val="0"/>
        <charset val="1"/>
      </rPr>
      <t xml:space="preserve">M3×8 </t>
    </r>
    <r>
      <rPr>
        <sz val="9.5"/>
        <rFont val="Noto Sans CJK SC"/>
        <family val="2"/>
      </rPr>
      <t xml:space="preserve">육각홈 </t>
    </r>
    <r>
      <rPr>
        <sz val="9.5"/>
        <rFont val="Arial"/>
        <family val="0"/>
        <charset val="1"/>
      </rPr>
      <t xml:space="preserve">(OS1 </t>
    </r>
    <r>
      <rPr>
        <sz val="9.5"/>
        <rFont val="Noto Sans CJK SC"/>
        <family val="2"/>
      </rPr>
      <t xml:space="preserve">장착</t>
    </r>
    <r>
      <rPr>
        <sz val="9.5"/>
        <rFont val="Arial"/>
        <family val="0"/>
        <charset val="1"/>
      </rPr>
      <t xml:space="preserve">)</t>
    </r>
  </si>
  <si>
    <t xml:space="preserve">SUS / 12.9</t>
  </si>
  <si>
    <t xml:space="preserve">OS1 → P05</t>
  </si>
  <si>
    <r>
      <rPr>
        <sz val="9.5"/>
        <rFont val="Noto Sans CJK SC"/>
        <family val="2"/>
      </rPr>
      <t xml:space="preserve">길이</t>
    </r>
    <r>
      <rPr>
        <sz val="9.5"/>
        <rFont val="Arial"/>
        <family val="0"/>
        <charset val="1"/>
      </rPr>
      <t xml:space="preserve">: OS1 </t>
    </r>
    <r>
      <rPr>
        <sz val="9.5"/>
        <rFont val="Noto Sans CJK SC"/>
        <family val="2"/>
      </rPr>
      <t xml:space="preserve">나사 깊이 확인 </t>
    </r>
    <r>
      <rPr>
        <sz val="9.5"/>
        <rFont val="Arial"/>
        <family val="0"/>
        <charset val="1"/>
      </rPr>
      <t xml:space="preserve">(HOLD 3)</t>
    </r>
  </si>
  <si>
    <r>
      <rPr>
        <sz val="9.5"/>
        <rFont val="Arial"/>
        <family val="0"/>
        <charset val="1"/>
      </rPr>
      <t xml:space="preserve">M2×6 + </t>
    </r>
    <r>
      <rPr>
        <sz val="9.5"/>
        <rFont val="Noto Sans CJK SC"/>
        <family val="2"/>
      </rPr>
      <t xml:space="preserve">너트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스페이서 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카메라 모듈</t>
    </r>
    <r>
      <rPr>
        <sz val="9.5"/>
        <rFont val="Arial"/>
        <family val="0"/>
        <charset val="1"/>
      </rPr>
      <t xml:space="preserve">)</t>
    </r>
  </si>
  <si>
    <t xml:space="preserve">SUS</t>
  </si>
  <si>
    <t xml:space="preserve">B0473 ×6 → P06</t>
  </si>
  <si>
    <t xml:space="preserve">HOLD 4</t>
  </si>
  <si>
    <t xml:space="preserve">CONNECTOR</t>
  </si>
  <si>
    <r>
      <rPr>
        <sz val="9.5"/>
        <rFont val="Noto Sans CJK SC"/>
        <family val="2"/>
      </rPr>
      <t xml:space="preserve">케이블 글랜드 </t>
    </r>
    <r>
      <rPr>
        <sz val="9.5"/>
        <rFont val="Arial"/>
        <family val="0"/>
        <charset val="1"/>
      </rPr>
      <t xml:space="preserve">M16×1.5 + </t>
    </r>
    <r>
      <rPr>
        <sz val="9.5"/>
        <rFont val="Noto Sans CJK SC"/>
        <family val="2"/>
      </rPr>
      <t xml:space="preserve">로크너트 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클램프 </t>
    </r>
    <r>
      <rPr>
        <sz val="9.5"/>
        <rFont val="Arial"/>
        <family val="0"/>
        <charset val="1"/>
      </rPr>
      <t xml:space="preserve">4.5~10)</t>
    </r>
  </si>
  <si>
    <r>
      <rPr>
        <sz val="9.5"/>
        <rFont val="Noto Sans CJK SC"/>
        <family val="2"/>
      </rPr>
      <t xml:space="preserve">니켈황동 </t>
    </r>
    <r>
      <rPr>
        <sz val="9.5"/>
        <rFont val="Arial"/>
        <family val="0"/>
        <charset val="1"/>
      </rPr>
      <t xml:space="preserve">IP68 (</t>
    </r>
    <r>
      <rPr>
        <sz val="9.5"/>
        <rFont val="Noto Sans CJK SC"/>
        <family val="2"/>
      </rPr>
      <t xml:space="preserve">예</t>
    </r>
    <r>
      <rPr>
        <sz val="9.5"/>
        <rFont val="Arial"/>
        <family val="0"/>
        <charset val="1"/>
      </rPr>
      <t xml:space="preserve">: Lapp SKINTOP MS-M 16)</t>
    </r>
  </si>
  <si>
    <r>
      <rPr>
        <sz val="9.5"/>
        <rFont val="Arial"/>
        <family val="0"/>
        <charset val="1"/>
      </rPr>
      <t xml:space="preserve">P07 — SCOUT </t>
    </r>
    <r>
      <rPr>
        <sz val="9.5"/>
        <rFont val="Noto Sans CJK SC"/>
        <family val="2"/>
      </rPr>
      <t xml:space="preserve">확장 케이블</t>
    </r>
  </si>
  <si>
    <t xml:space="preserve">케이블 외경 확인</t>
  </si>
  <si>
    <r>
      <rPr>
        <sz val="9.5"/>
        <rFont val="Noto Sans CJK SC"/>
        <family val="2"/>
      </rPr>
      <t xml:space="preserve">분할형 케이블 글랜드 </t>
    </r>
    <r>
      <rPr>
        <sz val="9.5"/>
        <rFont val="Arial"/>
        <family val="0"/>
        <charset val="1"/>
      </rPr>
      <t xml:space="preserve">M32 (</t>
    </r>
    <r>
      <rPr>
        <sz val="9.5"/>
        <rFont val="Noto Sans CJK SC"/>
        <family val="2"/>
      </rPr>
      <t xml:space="preserve">커넥터 통과형</t>
    </r>
    <r>
      <rPr>
        <sz val="9.5"/>
        <rFont val="Arial"/>
        <family val="0"/>
        <charset val="1"/>
      </rPr>
      <t xml:space="preserve">)</t>
    </r>
  </si>
  <si>
    <r>
      <rPr>
        <sz val="9.5"/>
        <rFont val="Arial"/>
        <family val="0"/>
        <charset val="1"/>
      </rPr>
      <t xml:space="preserve">IP54 </t>
    </r>
    <r>
      <rPr>
        <sz val="9.5"/>
        <rFont val="Noto Sans CJK SC"/>
        <family val="2"/>
      </rPr>
      <t xml:space="preserve">이상</t>
    </r>
  </si>
  <si>
    <r>
      <rPr>
        <sz val="9.5"/>
        <rFont val="Arial"/>
        <family val="0"/>
        <charset val="1"/>
      </rPr>
      <t xml:space="preserve">P04 — OS1 </t>
    </r>
    <r>
      <rPr>
        <sz val="9.5"/>
        <rFont val="Noto Sans CJK SC"/>
        <family val="2"/>
      </rPr>
      <t xml:space="preserve">케이블</t>
    </r>
  </si>
  <si>
    <r>
      <rPr>
        <sz val="9.5"/>
        <rFont val="Arial"/>
        <family val="0"/>
        <charset val="1"/>
      </rPr>
      <t xml:space="preserve">OS1 </t>
    </r>
    <r>
      <rPr>
        <sz val="9.5"/>
        <rFont val="Noto Sans CJK SC"/>
        <family val="2"/>
      </rPr>
      <t xml:space="preserve">케이블 외경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커넥터 확인</t>
    </r>
  </si>
  <si>
    <r>
      <rPr>
        <sz val="9.5"/>
        <rFont val="Arial"/>
        <family val="0"/>
        <charset val="1"/>
      </rPr>
      <t xml:space="preserve">etherCON </t>
    </r>
    <r>
      <rPr>
        <sz val="9.5"/>
        <rFont val="Noto Sans CJK SC"/>
        <family val="2"/>
      </rPr>
      <t xml:space="preserve">피드스루 </t>
    </r>
    <r>
      <rPr>
        <sz val="9.5"/>
        <rFont val="Arial"/>
        <family val="0"/>
        <charset val="1"/>
      </rPr>
      <t xml:space="preserve">D-size (Neutrik NE8FDP </t>
    </r>
    <r>
      <rPr>
        <sz val="9.5"/>
        <rFont val="Noto Sans CJK SC"/>
        <family val="2"/>
      </rPr>
      <t xml:space="preserve">또는 동등</t>
    </r>
    <r>
      <rPr>
        <sz val="9.5"/>
        <rFont val="Arial"/>
        <family val="0"/>
        <charset val="1"/>
      </rPr>
      <t xml:space="preserve">)</t>
    </r>
  </si>
  <si>
    <t xml:space="preserve">Cat6</t>
  </si>
  <si>
    <t xml:space="preserve">P07 D1</t>
  </si>
  <si>
    <r>
      <rPr>
        <sz val="9.5"/>
        <rFont val="Arial"/>
        <family val="0"/>
        <charset val="1"/>
      </rPr>
      <t xml:space="preserve">USB 3.0 A↔A </t>
    </r>
    <r>
      <rPr>
        <sz val="9.5"/>
        <rFont val="Noto Sans CJK SC"/>
        <family val="2"/>
      </rPr>
      <t xml:space="preserve">피드스루 </t>
    </r>
    <r>
      <rPr>
        <sz val="9.5"/>
        <rFont val="Arial"/>
        <family val="0"/>
        <charset val="1"/>
      </rPr>
      <t xml:space="preserve">D-size (Neutrik NAUSB3 </t>
    </r>
    <r>
      <rPr>
        <sz val="9.5"/>
        <rFont val="Noto Sans CJK SC"/>
        <family val="2"/>
      </rPr>
      <t xml:space="preserve">또는 동등</t>
    </r>
    <r>
      <rPr>
        <sz val="9.5"/>
        <rFont val="Arial"/>
        <family val="0"/>
        <charset val="1"/>
      </rPr>
      <t xml:space="preserve">)</t>
    </r>
  </si>
  <si>
    <t xml:space="preserve">P07 D2</t>
  </si>
  <si>
    <r>
      <rPr>
        <sz val="9.5"/>
        <rFont val="Arial"/>
        <family val="0"/>
        <charset val="1"/>
      </rPr>
      <t xml:space="preserve">D-size </t>
    </r>
    <r>
      <rPr>
        <sz val="9.5"/>
        <rFont val="Noto Sans CJK SC"/>
        <family val="2"/>
      </rPr>
      <t xml:space="preserve">블랭크 플레이트 </t>
    </r>
    <r>
      <rPr>
        <sz val="9.5"/>
        <rFont val="Arial"/>
        <family val="0"/>
        <charset val="1"/>
      </rPr>
      <t xml:space="preserve">/ 12V DC </t>
    </r>
    <r>
      <rPr>
        <sz val="9.5"/>
        <rFont val="Noto Sans CJK SC"/>
        <family val="2"/>
      </rPr>
      <t xml:space="preserve">잭 </t>
    </r>
    <r>
      <rPr>
        <sz val="9.5"/>
        <rFont val="Arial"/>
        <family val="0"/>
        <charset val="1"/>
      </rPr>
      <t xml:space="preserve">D-size</t>
    </r>
  </si>
  <si>
    <t xml:space="preserve">P07 D3</t>
  </si>
  <si>
    <t xml:space="preserve">선택</t>
  </si>
  <si>
    <r>
      <rPr>
        <sz val="9.5"/>
        <rFont val="Arial"/>
        <family val="0"/>
        <charset val="1"/>
      </rPr>
      <t xml:space="preserve">SMA </t>
    </r>
    <r>
      <rPr>
        <sz val="9.5"/>
        <rFont val="Noto Sans CJK SC"/>
        <family val="2"/>
      </rPr>
      <t xml:space="preserve">벌크헤드</t>
    </r>
    <r>
      <rPr>
        <sz val="9.5"/>
        <rFont val="Arial"/>
        <family val="0"/>
        <charset val="1"/>
      </rPr>
      <t xml:space="preserve">(F) – U.FL/IPEX </t>
    </r>
    <r>
      <rPr>
        <sz val="9.5"/>
        <rFont val="Noto Sans CJK SC"/>
        <family val="2"/>
      </rPr>
      <t xml:space="preserve">피그테일 </t>
    </r>
    <r>
      <rPr>
        <sz val="9.5"/>
        <rFont val="Arial"/>
        <family val="0"/>
        <charset val="1"/>
      </rPr>
      <t xml:space="preserve">15cm</t>
    </r>
  </si>
  <si>
    <t xml:space="preserve">50Ω</t>
  </si>
  <si>
    <t xml:space="preserve">P07 SMA</t>
  </si>
  <si>
    <r>
      <rPr>
        <sz val="9.5"/>
        <rFont val="Arial"/>
        <family val="0"/>
        <charset val="1"/>
      </rPr>
      <t xml:space="preserve">5G </t>
    </r>
    <r>
      <rPr>
        <sz val="9.5"/>
        <rFont val="Noto Sans CJK SC"/>
        <family val="2"/>
      </rPr>
      <t xml:space="preserve">모뎀 확정 후 </t>
    </r>
    <r>
      <rPr>
        <sz val="9.5"/>
        <rFont val="Arial"/>
        <family val="0"/>
        <charset val="1"/>
      </rPr>
      <t xml:space="preserve">(HOLD 7)</t>
    </r>
  </si>
  <si>
    <t xml:space="preserve">ELECTRICAL</t>
  </si>
  <si>
    <r>
      <rPr>
        <sz val="9.5"/>
        <rFont val="Arial"/>
        <family val="0"/>
        <charset val="1"/>
      </rPr>
      <t xml:space="preserve">SCOUT </t>
    </r>
    <r>
      <rPr>
        <sz val="9.5"/>
        <rFont val="Noto Sans CJK SC"/>
        <family val="2"/>
      </rPr>
      <t xml:space="preserve">확장 케이블</t>
    </r>
    <r>
      <rPr>
        <sz val="9.5"/>
        <rFont val="Arial"/>
        <family val="0"/>
        <charset val="1"/>
      </rPr>
      <t xml:space="preserve">: </t>
    </r>
    <r>
      <rPr>
        <sz val="9.5"/>
        <rFont val="Noto Sans CJK SC"/>
        <family val="2"/>
      </rPr>
      <t xml:space="preserve">동봉 </t>
    </r>
    <r>
      <rPr>
        <sz val="9.5"/>
        <rFont val="Arial"/>
        <family val="0"/>
        <charset val="1"/>
      </rPr>
      <t xml:space="preserve">4</t>
    </r>
    <r>
      <rPr>
        <sz val="9.5"/>
        <rFont val="Noto Sans CJK SC"/>
        <family val="2"/>
      </rPr>
      <t xml:space="preserve">핀 항공 플러그 </t>
    </r>
    <r>
      <rPr>
        <sz val="9.5"/>
        <rFont val="Arial"/>
        <family val="0"/>
        <charset val="1"/>
      </rPr>
      <t xml:space="preserve">+ 4C </t>
    </r>
    <r>
      <rPr>
        <sz val="9.5"/>
        <rFont val="Noto Sans CJK SC"/>
        <family val="2"/>
      </rPr>
      <t xml:space="preserve">케이블 </t>
    </r>
    <r>
      <rPr>
        <sz val="9.5"/>
        <rFont val="Arial"/>
        <family val="0"/>
        <charset val="1"/>
      </rPr>
      <t xml:space="preserve">(AWG18 ×2 + </t>
    </r>
    <r>
      <rPr>
        <sz val="9.5"/>
        <rFont val="Noto Sans CJK SC"/>
        <family val="2"/>
      </rPr>
      <t xml:space="preserve">트위스트 </t>
    </r>
    <r>
      <rPr>
        <sz val="9.5"/>
        <rFont val="Arial"/>
        <family val="0"/>
        <charset val="1"/>
      </rPr>
      <t xml:space="preserve">CAN) 1 m</t>
    </r>
  </si>
  <si>
    <t xml:space="preserve">납땜 제작</t>
  </si>
  <si>
    <t xml:space="preserve">H1</t>
  </si>
  <si>
    <r>
      <rPr>
        <sz val="9.5"/>
        <rFont val="Noto Sans CJK SC"/>
        <family val="2"/>
      </rPr>
      <t xml:space="preserve">위고 제작 요청 중 </t>
    </r>
    <r>
      <rPr>
        <sz val="9.5"/>
        <rFont val="Arial"/>
        <family val="0"/>
        <charset val="1"/>
      </rPr>
      <t xml:space="preserve">/ </t>
    </r>
    <r>
      <rPr>
        <sz val="9.5"/>
        <rFont val="Noto Sans CJK SC"/>
        <family val="2"/>
      </rPr>
      <t xml:space="preserve">불가 시 </t>
    </r>
    <r>
      <rPr>
        <sz val="9.5"/>
        <rFont val="Arial"/>
        <family val="0"/>
        <charset val="1"/>
      </rPr>
      <t xml:space="preserve">KETI </t>
    </r>
    <r>
      <rPr>
        <sz val="9.5"/>
        <rFont val="Noto Sans CJK SC"/>
        <family val="2"/>
      </rPr>
      <t xml:space="preserve">납땜</t>
    </r>
  </si>
  <si>
    <t xml:space="preserve">CABLE</t>
  </si>
  <si>
    <t xml:space="preserve">Arducam 15-22pin FPC 60cm</t>
  </si>
  <si>
    <r>
      <rPr>
        <sz val="9.5"/>
        <rFont val="Arial"/>
        <family val="0"/>
        <charset val="1"/>
      </rPr>
      <t xml:space="preserve">Arducam </t>
    </r>
    <r>
      <rPr>
        <sz val="9.5"/>
        <rFont val="Noto Sans CJK SC"/>
        <family val="2"/>
      </rPr>
      <t xml:space="preserve">정품</t>
    </r>
  </si>
  <si>
    <r>
      <rPr>
        <sz val="9.5"/>
        <rFont val="Noto Sans CJK SC"/>
        <family val="2"/>
      </rPr>
      <t xml:space="preserve">먼 </t>
    </r>
    <r>
      <rPr>
        <sz val="9.5"/>
        <rFont val="Arial"/>
        <family val="0"/>
        <charset val="1"/>
      </rPr>
      <t xml:space="preserve">2</t>
    </r>
    <r>
      <rPr>
        <sz val="9.5"/>
        <rFont val="Noto Sans CJK SC"/>
        <family val="2"/>
      </rPr>
      <t xml:space="preserve">면 카메라</t>
    </r>
  </si>
  <si>
    <r>
      <rPr>
        <sz val="9.5"/>
        <rFont val="Noto Sans CJK SC"/>
        <family val="2"/>
      </rPr>
      <t xml:space="preserve">기본 </t>
    </r>
    <r>
      <rPr>
        <sz val="9.5"/>
        <rFont val="Arial"/>
        <family val="0"/>
        <charset val="1"/>
      </rPr>
      <t xml:space="preserve">30cm ×6 </t>
    </r>
    <r>
      <rPr>
        <sz val="9.5"/>
        <rFont val="Noto Sans CJK SC"/>
        <family val="2"/>
      </rPr>
      <t xml:space="preserve">동봉</t>
    </r>
    <r>
      <rPr>
        <sz val="9.5"/>
        <rFont val="Arial"/>
        <family val="0"/>
        <charset val="1"/>
      </rPr>
      <t xml:space="preserve">, 60cm </t>
    </r>
    <r>
      <rPr>
        <sz val="9.5"/>
        <rFont val="Noto Sans CJK SC"/>
        <family val="2"/>
      </rPr>
      <t xml:space="preserve">별도</t>
    </r>
  </si>
  <si>
    <r>
      <rPr>
        <sz val="9.5"/>
        <rFont val="Arial"/>
        <family val="0"/>
        <charset val="1"/>
      </rPr>
      <t xml:space="preserve">ATO </t>
    </r>
    <r>
      <rPr>
        <sz val="9.5"/>
        <rFont val="Noto Sans CJK SC"/>
        <family val="2"/>
      </rPr>
      <t xml:space="preserve">인라인 퓨즈홀더 </t>
    </r>
    <r>
      <rPr>
        <sz val="9.5"/>
        <rFont val="Arial"/>
        <family val="0"/>
        <charset val="1"/>
      </rPr>
      <t xml:space="preserve">AWG16~18 + ATO 5A </t>
    </r>
    <r>
      <rPr>
        <sz val="9.5"/>
        <rFont val="Noto Sans CJK SC"/>
        <family val="2"/>
      </rPr>
      <t xml:space="preserve">퓨즈</t>
    </r>
  </si>
  <si>
    <r>
      <rPr>
        <sz val="9.5"/>
        <rFont val="Arial"/>
        <family val="0"/>
        <charset val="1"/>
      </rPr>
      <t xml:space="preserve">24V </t>
    </r>
    <r>
      <rPr>
        <sz val="9.5"/>
        <rFont val="Noto Sans CJK SC"/>
        <family val="2"/>
      </rPr>
      <t xml:space="preserve">인입</t>
    </r>
  </si>
  <si>
    <r>
      <rPr>
        <sz val="9.5"/>
        <rFont val="Noto Sans CJK SC"/>
        <family val="2"/>
      </rPr>
      <t xml:space="preserve">퓨즈 예비 </t>
    </r>
    <r>
      <rPr>
        <sz val="9.5"/>
        <rFont val="Arial"/>
        <family val="0"/>
        <charset val="1"/>
      </rPr>
      <t xml:space="preserve">2</t>
    </r>
  </si>
  <si>
    <r>
      <rPr>
        <sz val="9.5"/>
        <rFont val="Arial"/>
        <family val="0"/>
        <charset val="1"/>
      </rPr>
      <t xml:space="preserve">WAGO 221-413 </t>
    </r>
    <r>
      <rPr>
        <sz val="9.5"/>
        <rFont val="Noto Sans CJK SC"/>
        <family val="2"/>
      </rPr>
      <t xml:space="preserve">레버 커넥터</t>
    </r>
  </si>
  <si>
    <t xml:space="preserve">3P</t>
  </si>
  <si>
    <r>
      <rPr>
        <sz val="9.5"/>
        <rFont val="Arial"/>
        <family val="0"/>
        <charset val="1"/>
      </rPr>
      <t xml:space="preserve">24V/GND </t>
    </r>
    <r>
      <rPr>
        <sz val="9.5"/>
        <rFont val="Noto Sans CJK SC"/>
        <family val="2"/>
      </rPr>
      <t xml:space="preserve">분배</t>
    </r>
  </si>
  <si>
    <r>
      <rPr>
        <sz val="9.5"/>
        <rFont val="Noto Sans CJK SC"/>
        <family val="2"/>
      </rPr>
      <t xml:space="preserve">전선 </t>
    </r>
    <r>
      <rPr>
        <sz val="9.5"/>
        <rFont val="Arial"/>
        <family val="0"/>
        <charset val="1"/>
      </rPr>
      <t xml:space="preserve">AWG18 </t>
    </r>
    <r>
      <rPr>
        <sz val="9.5"/>
        <rFont val="Noto Sans CJK SC"/>
        <family val="2"/>
      </rPr>
      <t xml:space="preserve">적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흑</t>
    </r>
  </si>
  <si>
    <t xml:space="preserve">UL1015</t>
  </si>
  <si>
    <r>
      <rPr>
        <sz val="9.5"/>
        <rFont val="Noto Sans CJK SC"/>
        <family val="2"/>
      </rPr>
      <t xml:space="preserve">전원 </t>
    </r>
    <r>
      <rPr>
        <sz val="9.5"/>
        <rFont val="Arial"/>
        <family val="0"/>
        <charset val="1"/>
      </rPr>
      <t xml:space="preserve">(m)</t>
    </r>
  </si>
  <si>
    <r>
      <rPr>
        <sz val="9.5"/>
        <rFont val="Noto Sans CJK SC"/>
        <family val="2"/>
      </rPr>
      <t xml:space="preserve">단위 </t>
    </r>
    <r>
      <rPr>
        <sz val="9.5"/>
        <rFont val="Arial"/>
        <family val="0"/>
        <charset val="1"/>
      </rPr>
      <t xml:space="preserve">m</t>
    </r>
  </si>
  <si>
    <r>
      <rPr>
        <sz val="9.5"/>
        <rFont val="Noto Sans CJK SC"/>
        <family val="2"/>
      </rPr>
      <t xml:space="preserve">트위스트 페어 </t>
    </r>
    <r>
      <rPr>
        <sz val="9.5"/>
        <rFont val="Arial"/>
        <family val="0"/>
        <charset val="1"/>
      </rPr>
      <t xml:space="preserve">AWG24</t>
    </r>
  </si>
  <si>
    <t xml:space="preserve">CAN (m)</t>
  </si>
  <si>
    <r>
      <rPr>
        <sz val="9.5"/>
        <rFont val="Arial"/>
        <family val="0"/>
        <charset val="1"/>
      </rPr>
      <t xml:space="preserve">DC </t>
    </r>
    <r>
      <rPr>
        <sz val="9.5"/>
        <rFont val="Noto Sans CJK SC"/>
        <family val="2"/>
      </rPr>
      <t xml:space="preserve">배럴 플러그 </t>
    </r>
    <r>
      <rPr>
        <sz val="9.5"/>
        <rFont val="Arial"/>
        <family val="0"/>
        <charset val="1"/>
      </rPr>
      <t xml:space="preserve">5.5/2.5 </t>
    </r>
    <r>
      <rPr>
        <sz val="9.5"/>
        <rFont val="Noto Sans CJK SC"/>
        <family val="2"/>
      </rPr>
      <t xml:space="preserve">피그테일</t>
    </r>
  </si>
  <si>
    <r>
      <rPr>
        <sz val="9.5"/>
        <rFont val="Noto Sans CJK SC"/>
        <family val="2"/>
      </rPr>
      <t xml:space="preserve">센터 </t>
    </r>
    <r>
      <rPr>
        <sz val="9.5"/>
        <rFont val="Arial"/>
        <family val="0"/>
        <charset val="1"/>
      </rPr>
      <t xml:space="preserve">+</t>
    </r>
  </si>
  <si>
    <t xml:space="preserve">AGX J41</t>
  </si>
  <si>
    <r>
      <rPr>
        <sz val="9.5"/>
        <rFont val="Arial"/>
        <family val="0"/>
        <charset val="1"/>
      </rPr>
      <t xml:space="preserve">DC/DC 24→12V (</t>
    </r>
    <r>
      <rPr>
        <sz val="9.5"/>
        <rFont val="Noto Sans CJK SC"/>
        <family val="2"/>
      </rPr>
      <t xml:space="preserve">기존품 사양 미달 시에만 대체</t>
    </r>
    <r>
      <rPr>
        <sz val="9.5"/>
        <rFont val="Arial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</si>
  <si>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입력 </t>
    </r>
    <r>
      <rPr>
        <sz val="9.5"/>
        <rFont val="Arial"/>
        <family val="0"/>
        <charset val="1"/>
      </rPr>
      <t xml:space="preserve">19~36V, 12V </t>
    </r>
    <r>
      <rPr>
        <sz val="9.5"/>
        <rFont val="Noto Sans CJK SC"/>
        <family val="2"/>
      </rPr>
      <t xml:space="preserve">연속 ≥</t>
    </r>
    <r>
      <rPr>
        <sz val="9.5"/>
        <rFont val="Arial"/>
        <family val="0"/>
        <charset val="1"/>
      </rPr>
      <t xml:space="preserve">8A (</t>
    </r>
    <r>
      <rPr>
        <sz val="9.5"/>
        <rFont val="Noto Sans CJK SC"/>
        <family val="2"/>
      </rPr>
      <t xml:space="preserve">예</t>
    </r>
    <r>
      <rPr>
        <sz val="9.5"/>
        <rFont val="Arial"/>
        <family val="0"/>
        <charset val="1"/>
      </rPr>
      <t xml:space="preserve">: Mean Well SD-100B-12)</t>
    </r>
  </si>
  <si>
    <r>
      <rPr>
        <sz val="9.5"/>
        <rFont val="Arial"/>
        <family val="0"/>
        <charset val="1"/>
      </rPr>
      <t xml:space="preserve">P10 </t>
    </r>
    <r>
      <rPr>
        <sz val="9.5"/>
        <rFont val="Noto Sans CJK SC"/>
        <family val="2"/>
      </rPr>
      <t xml:space="preserve">장착</t>
    </r>
  </si>
  <si>
    <r>
      <rPr>
        <sz val="9.5"/>
        <rFont val="Arial"/>
        <family val="0"/>
        <charset val="1"/>
      </rPr>
      <t xml:space="preserve">HOLD 6 — </t>
    </r>
    <r>
      <rPr>
        <sz val="9.5"/>
        <rFont val="Noto Sans CJK SC"/>
        <family val="2"/>
      </rPr>
      <t xml:space="preserve">기존품 실측 후 수량 결정</t>
    </r>
  </si>
  <si>
    <r>
      <rPr>
        <sz val="9.5"/>
        <rFont val="Noto Sans CJK SC"/>
        <family val="2"/>
      </rPr>
      <t xml:space="preserve">듀폰 점퍼 </t>
    </r>
    <r>
      <rPr>
        <sz val="9.5"/>
        <rFont val="Arial"/>
        <family val="0"/>
        <charset val="1"/>
      </rPr>
      <t xml:space="preserve">F-F 20cm</t>
    </r>
  </si>
  <si>
    <t xml:space="preserve">CAN Pal ↔ J30</t>
  </si>
  <si>
    <t xml:space="preserve">MISC</t>
  </si>
  <si>
    <r>
      <rPr>
        <sz val="9.5"/>
        <rFont val="Arial"/>
        <family val="0"/>
        <charset val="1"/>
      </rPr>
      <t xml:space="preserve">EPDM </t>
    </r>
    <r>
      <rPr>
        <sz val="9.5"/>
        <rFont val="Noto Sans CJK SC"/>
        <family val="2"/>
      </rPr>
      <t xml:space="preserve">폼 테이프 </t>
    </r>
    <r>
      <rPr>
        <sz val="9.5"/>
        <rFont val="Arial"/>
        <family val="0"/>
        <charset val="1"/>
      </rPr>
      <t xml:space="preserve">10×3 (</t>
    </r>
    <r>
      <rPr>
        <sz val="9.5"/>
        <rFont val="Noto Sans CJK SC"/>
        <family val="2"/>
      </rPr>
      <t xml:space="preserve">점착</t>
    </r>
    <r>
      <rPr>
        <sz val="9.5"/>
        <rFont val="Arial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</si>
  <si>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커버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하판 가스켓 </t>
    </r>
    <r>
      <rPr>
        <sz val="9.5"/>
        <rFont val="Arial"/>
        <family val="0"/>
        <charset val="1"/>
      </rPr>
      <t xml:space="preserve">(m)</t>
    </r>
  </si>
  <si>
    <t xml:space="preserve">옵션 방진</t>
  </si>
  <si>
    <r>
      <rPr>
        <sz val="9.5"/>
        <rFont val="Arial"/>
        <family val="0"/>
        <charset val="1"/>
      </rPr>
      <t xml:space="preserve">EPDM </t>
    </r>
    <r>
      <rPr>
        <sz val="9.5"/>
        <rFont val="Noto Sans CJK SC"/>
        <family val="2"/>
      </rPr>
      <t xml:space="preserve">패드 </t>
    </r>
    <r>
      <rPr>
        <sz val="9.5"/>
        <rFont val="Arial"/>
        <family val="0"/>
        <charset val="1"/>
      </rPr>
      <t xml:space="preserve">1t 110×110</t>
    </r>
  </si>
  <si>
    <r>
      <rPr>
        <sz val="9.5"/>
        <rFont val="Noto Sans CJK SC"/>
        <family val="2"/>
      </rPr>
      <t xml:space="preserve">벨크로 스트랩 </t>
    </r>
    <r>
      <rPr>
        <sz val="9.5"/>
        <rFont val="Arial"/>
        <family val="0"/>
        <charset val="1"/>
      </rPr>
      <t xml:space="preserve">25mm × 300</t>
    </r>
  </si>
  <si>
    <r>
      <rPr>
        <sz val="9.5"/>
        <rFont val="Arial"/>
        <family val="0"/>
        <charset val="1"/>
      </rPr>
      <t xml:space="preserve">AGX </t>
    </r>
    <r>
      <rPr>
        <sz val="9.5"/>
        <rFont val="Noto Sans CJK SC"/>
        <family val="2"/>
      </rPr>
      <t xml:space="preserve">고정</t>
    </r>
  </si>
  <si>
    <r>
      <rPr>
        <sz val="9.5"/>
        <rFont val="Noto Sans CJK SC"/>
        <family val="2"/>
      </rPr>
      <t xml:space="preserve">케이블 타이 </t>
    </r>
    <r>
      <rPr>
        <sz val="9.5"/>
        <rFont val="Arial"/>
        <family val="0"/>
        <charset val="1"/>
      </rPr>
      <t xml:space="preserve">+ </t>
    </r>
    <r>
      <rPr>
        <sz val="9.5"/>
        <rFont val="Noto Sans CJK SC"/>
        <family val="2"/>
      </rPr>
      <t xml:space="preserve">타이 마운트 </t>
    </r>
    <r>
      <rPr>
        <sz val="9.5"/>
        <rFont val="Arial"/>
        <family val="0"/>
        <charset val="1"/>
      </rPr>
      <t xml:space="preserve">(M3)</t>
    </r>
  </si>
  <si>
    <t xml:space="preserve">하네스</t>
  </si>
  <si>
    <r>
      <rPr>
        <sz val="9.5"/>
        <rFont val="Noto Sans CJK SC"/>
        <family val="2"/>
      </rPr>
      <t xml:space="preserve">나사 고착제 중강도 </t>
    </r>
    <r>
      <rPr>
        <sz val="9.5"/>
        <rFont val="Arial"/>
        <family val="0"/>
        <charset val="1"/>
      </rPr>
      <t xml:space="preserve">(Loctite 243 </t>
    </r>
    <r>
      <rPr>
        <sz val="9.5"/>
        <rFont val="Noto Sans CJK SC"/>
        <family val="2"/>
      </rPr>
      <t xml:space="preserve">등</t>
    </r>
    <r>
      <rPr>
        <sz val="9.5"/>
        <rFont val="Arial"/>
        <family val="0"/>
        <charset val="1"/>
      </rPr>
      <t xml:space="preserve">)</t>
    </r>
  </si>
  <si>
    <t xml:space="preserve">OPTION</t>
  </si>
  <si>
    <r>
      <rPr>
        <sz val="9.5"/>
        <rFont val="Arial"/>
        <family val="0"/>
        <charset val="1"/>
      </rPr>
      <t xml:space="preserve">OPT-2 </t>
    </r>
    <r>
      <rPr>
        <sz val="9.5"/>
        <rFont val="Noto Sans CJK SC"/>
        <family val="2"/>
      </rPr>
      <t xml:space="preserve">벤트 방진 메쉬 </t>
    </r>
    <r>
      <rPr>
        <sz val="9.5"/>
        <rFont val="Arial"/>
        <family val="0"/>
        <charset val="1"/>
      </rPr>
      <t xml:space="preserve">(SUS 100mesh, </t>
    </r>
    <r>
      <rPr>
        <sz val="9.5"/>
        <rFont val="Noto Sans CJK SC"/>
        <family val="2"/>
      </rPr>
      <t xml:space="preserve">내측 접착</t>
    </r>
    <r>
      <rPr>
        <sz val="9.5"/>
        <rFont val="Arial"/>
        <family val="0"/>
        <charset val="1"/>
      </rPr>
      <t xml:space="preserve">)</t>
    </r>
  </si>
  <si>
    <r>
      <rPr>
        <sz val="9.5"/>
        <rFont val="Arial"/>
        <family val="0"/>
        <charset val="1"/>
      </rPr>
      <t xml:space="preserve">C1/C3/C4/C6 </t>
    </r>
    <r>
      <rPr>
        <sz val="9.5"/>
        <rFont val="Noto Sans CJK SC"/>
        <family val="2"/>
      </rPr>
      <t xml:space="preserve">벤트</t>
    </r>
  </si>
  <si>
    <t xml:space="preserve">분진 환경 시</t>
  </si>
  <si>
    <t xml:space="preserve">#</t>
  </si>
  <si>
    <r>
      <rPr>
        <b val="true"/>
        <sz val="10"/>
        <color rgb="FFFFFFFF"/>
        <rFont val="Arial"/>
        <family val="0"/>
        <charset val="1"/>
      </rPr>
      <t xml:space="preserve">HOLD </t>
    </r>
    <r>
      <rPr>
        <b val="true"/>
        <sz val="10"/>
        <color rgb="FFFFFFFF"/>
        <rFont val="Noto Sans CJK SC"/>
        <family val="2"/>
      </rPr>
      <t xml:space="preserve">항목</t>
    </r>
  </si>
  <si>
    <t xml:space="preserve">해제 방법</t>
  </si>
  <si>
    <t xml:space="preserve">판금 발주 영향</t>
  </si>
  <si>
    <t xml:space="preserve">담당</t>
  </si>
  <si>
    <t xml:space="preserve">완료일</t>
  </si>
  <si>
    <r>
      <rPr>
        <sz val="9.5"/>
        <rFont val="Arial"/>
        <family val="0"/>
        <charset val="1"/>
      </rPr>
      <t xml:space="preserve">SCOUT 4</t>
    </r>
    <r>
      <rPr>
        <sz val="9.5"/>
        <rFont val="Noto Sans CJK SC"/>
        <family val="2"/>
      </rPr>
      <t xml:space="preserve">핀 항공 플러그 모델</t>
    </r>
  </si>
  <si>
    <r>
      <rPr>
        <sz val="9.5"/>
        <rFont val="Noto Sans CJK SC"/>
        <family val="2"/>
      </rPr>
      <t xml:space="preserve">동봉 플러그에 케이블 납땜 → </t>
    </r>
    <r>
      <rPr>
        <sz val="9.5"/>
        <rFont val="Arial"/>
        <family val="0"/>
        <charset val="1"/>
      </rPr>
      <t xml:space="preserve">M16 </t>
    </r>
    <r>
      <rPr>
        <sz val="9.5"/>
        <rFont val="Noto Sans CJK SC"/>
        <family val="2"/>
      </rPr>
      <t xml:space="preserve">글랜드 통과</t>
    </r>
  </si>
  <si>
    <t xml:space="preserve">없음</t>
  </si>
  <si>
    <r>
      <rPr>
        <sz val="9.5"/>
        <rFont val="Noto Sans CJK SC"/>
        <family val="2"/>
      </rPr>
      <t xml:space="preserve">위고</t>
    </r>
    <r>
      <rPr>
        <sz val="9.5"/>
        <rFont val="Arial"/>
        <family val="0"/>
        <charset val="1"/>
      </rPr>
      <t xml:space="preserve">/KETI</t>
    </r>
  </si>
  <si>
    <r>
      <rPr>
        <sz val="9.5"/>
        <rFont val="Noto Sans CJK SC"/>
        <family val="2"/>
      </rPr>
      <t xml:space="preserve">레일 피치 </t>
    </r>
    <r>
      <rPr>
        <sz val="9.5"/>
        <rFont val="Arial"/>
        <family val="0"/>
        <charset val="1"/>
      </rPr>
      <t xml:space="preserve">230 / </t>
    </r>
    <r>
      <rPr>
        <sz val="9.5"/>
        <rFont val="Noto Sans CJK SC"/>
        <family val="2"/>
      </rPr>
      <t xml:space="preserve">홈 폭 </t>
    </r>
    <r>
      <rPr>
        <sz val="9.5"/>
        <rFont val="Arial"/>
        <family val="0"/>
        <charset val="1"/>
      </rPr>
      <t xml:space="preserve">/ T-</t>
    </r>
    <r>
      <rPr>
        <sz val="9.5"/>
        <rFont val="Noto Sans CJK SC"/>
        <family val="2"/>
      </rPr>
      <t xml:space="preserve">너트</t>
    </r>
  </si>
  <si>
    <r>
      <rPr>
        <sz val="9.5"/>
        <rFont val="Noto Sans CJK SC"/>
        <family val="2"/>
      </rPr>
      <t xml:space="preserve">매뉴얼 </t>
    </r>
    <r>
      <rPr>
        <sz val="9.5"/>
        <rFont val="Arial"/>
        <family val="0"/>
        <charset val="1"/>
      </rPr>
      <t xml:space="preserve">5.2 </t>
    </r>
    <r>
      <rPr>
        <sz val="9.5"/>
        <rFont val="Noto Sans CJK SC"/>
        <family val="2"/>
      </rPr>
      <t xml:space="preserve">도면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실측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위고 회신으로 확정</t>
    </r>
  </si>
  <si>
    <r>
      <rPr>
        <sz val="9.5"/>
        <rFont val="Arial"/>
        <family val="0"/>
        <charset val="1"/>
      </rPr>
      <t xml:space="preserve">P01 </t>
    </r>
    <r>
      <rPr>
        <sz val="9.5"/>
        <rFont val="Noto Sans CJK SC"/>
        <family val="2"/>
      </rPr>
      <t xml:space="preserve">슬롯 가공 전 필수</t>
    </r>
  </si>
  <si>
    <t xml:space="preserve">KETI</t>
  </si>
  <si>
    <r>
      <rPr>
        <sz val="9.5"/>
        <rFont val="Arial"/>
        <family val="0"/>
        <charset val="1"/>
      </rPr>
      <t xml:space="preserve">OS1 4×M3 + Ø2 </t>
    </r>
    <r>
      <rPr>
        <sz val="9.5"/>
        <rFont val="Noto Sans CJK SC"/>
        <family val="2"/>
      </rPr>
      <t xml:space="preserve">핀 패턴</t>
    </r>
  </si>
  <si>
    <r>
      <rPr>
        <sz val="9.5"/>
        <rFont val="Noto Sans CJK SC"/>
        <family val="2"/>
      </rPr>
      <t xml:space="preserve">보유 </t>
    </r>
    <r>
      <rPr>
        <sz val="9.5"/>
        <rFont val="Arial"/>
        <family val="0"/>
        <charset val="1"/>
      </rPr>
      <t xml:space="preserve">OS1 </t>
    </r>
    <r>
      <rPr>
        <sz val="9.5"/>
        <rFont val="Noto Sans CJK SC"/>
        <family val="2"/>
      </rPr>
      <t xml:space="preserve">실측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템플릿 → </t>
    </r>
    <r>
      <rPr>
        <sz val="9.5"/>
        <rFont val="Arial"/>
        <family val="0"/>
        <charset val="1"/>
      </rPr>
      <t xml:space="preserve">P05 </t>
    </r>
    <r>
      <rPr>
        <sz val="9.5"/>
        <rFont val="Noto Sans CJK SC"/>
        <family val="2"/>
      </rPr>
      <t xml:space="preserve">후가공</t>
    </r>
  </si>
  <si>
    <r>
      <rPr>
        <sz val="9.5"/>
        <rFont val="Arial"/>
        <family val="0"/>
        <charset val="1"/>
      </rPr>
      <t xml:space="preserve">P05 </t>
    </r>
    <r>
      <rPr>
        <sz val="9.5"/>
        <rFont val="Noto Sans CJK SC"/>
        <family val="2"/>
      </rPr>
      <t xml:space="preserve">블랭크 납품</t>
    </r>
  </si>
  <si>
    <r>
      <rPr>
        <sz val="9.5"/>
        <rFont val="Arial"/>
        <family val="0"/>
        <charset val="1"/>
      </rPr>
      <t xml:space="preserve">B0473 </t>
    </r>
    <r>
      <rPr>
        <sz val="9.5"/>
        <rFont val="Noto Sans CJK SC"/>
        <family val="2"/>
      </rPr>
      <t xml:space="preserve">홀더 홀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렌즈 위치</t>
    </r>
  </si>
  <si>
    <r>
      <rPr>
        <sz val="9.5"/>
        <rFont val="Noto Sans CJK SC"/>
        <family val="2"/>
      </rPr>
      <t xml:space="preserve">납품 키트 실측 → </t>
    </r>
    <r>
      <rPr>
        <sz val="9.5"/>
        <rFont val="Arial"/>
        <family val="0"/>
        <charset val="1"/>
      </rPr>
      <t xml:space="preserve">P06 </t>
    </r>
    <r>
      <rPr>
        <sz val="9.5"/>
        <rFont val="Noto Sans CJK SC"/>
        <family val="2"/>
      </rPr>
      <t xml:space="preserve">후가공</t>
    </r>
  </si>
  <si>
    <r>
      <rPr>
        <sz val="9.5"/>
        <rFont val="Arial"/>
        <family val="0"/>
        <charset val="1"/>
      </rPr>
      <t xml:space="preserve">P06 </t>
    </r>
    <r>
      <rPr>
        <sz val="9.5"/>
        <rFont val="Noto Sans CJK SC"/>
        <family val="2"/>
      </rPr>
      <t xml:space="preserve">블랭크 납품</t>
    </r>
  </si>
  <si>
    <r>
      <rPr>
        <sz val="9.5"/>
        <rFont val="Arial"/>
        <family val="0"/>
        <charset val="1"/>
      </rPr>
      <t xml:space="preserve">B0473 </t>
    </r>
    <r>
      <rPr>
        <sz val="9.5"/>
        <rFont val="Noto Sans CJK SC"/>
        <family val="2"/>
      </rPr>
      <t xml:space="preserve">어댑터 </t>
    </r>
    <r>
      <rPr>
        <sz val="9.5"/>
        <rFont val="Arial"/>
        <family val="0"/>
        <charset val="1"/>
      </rPr>
      <t xml:space="preserve">FIT CHECK</t>
    </r>
  </si>
  <si>
    <r>
      <rPr>
        <sz val="9.5"/>
        <rFont val="Arial"/>
        <family val="0"/>
        <charset val="1"/>
      </rPr>
      <t xml:space="preserve">AGX </t>
    </r>
    <r>
      <rPr>
        <sz val="9.5"/>
        <rFont val="Noto Sans CJK SC"/>
        <family val="2"/>
      </rPr>
      <t xml:space="preserve">카메라 커넥터</t>
    </r>
    <r>
      <rPr>
        <sz val="9.5"/>
        <rFont val="Arial"/>
        <family val="0"/>
        <charset val="1"/>
      </rPr>
      <t xml:space="preserve">(J509) </t>
    </r>
    <r>
      <rPr>
        <sz val="9.5"/>
        <rFont val="Noto Sans CJK SC"/>
        <family val="2"/>
      </rPr>
      <t xml:space="preserve">결합 후 하부 돌출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케이블 경로 확인 → </t>
    </r>
    <r>
      <rPr>
        <sz val="9.5"/>
        <rFont val="Arial"/>
        <family val="0"/>
        <charset val="1"/>
      </rPr>
      <t xml:space="preserve">P08 70×70 </t>
    </r>
    <r>
      <rPr>
        <sz val="9.5"/>
        <rFont val="Noto Sans CJK SC"/>
        <family val="2"/>
      </rPr>
      <t xml:space="preserve">유지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축소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스탠드오프 </t>
    </r>
    <r>
      <rPr>
        <sz val="9.5"/>
        <rFont val="Arial"/>
        <family val="0"/>
        <charset val="1"/>
      </rPr>
      <t xml:space="preserve">25/30/35</t>
    </r>
  </si>
  <si>
    <r>
      <rPr>
        <sz val="9.5"/>
        <rFont val="Noto Sans CJK SC"/>
        <family val="2"/>
      </rPr>
      <t xml:space="preserve">없음 </t>
    </r>
    <r>
      <rPr>
        <sz val="9.5"/>
        <rFont val="Arial"/>
        <family val="0"/>
        <charset val="1"/>
      </rPr>
      <t xml:space="preserve">(P08 </t>
    </r>
    <r>
      <rPr>
        <sz val="9.5"/>
        <rFont val="Noto Sans CJK SC"/>
        <family val="2"/>
      </rPr>
      <t xml:space="preserve">그대로 가공</t>
    </r>
    <r>
      <rPr>
        <sz val="9.5"/>
        <rFont val="Arial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</si>
  <si>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기존 </t>
    </r>
    <r>
      <rPr>
        <sz val="9.5"/>
        <rFont val="Arial"/>
        <family val="0"/>
        <charset val="1"/>
      </rPr>
      <t xml:space="preserve">24→12V DC/DC </t>
    </r>
    <r>
      <rPr>
        <sz val="9.5"/>
        <rFont val="Noto Sans CJK SC"/>
        <family val="2"/>
      </rPr>
      <t xml:space="preserve">실물 사양</t>
    </r>
  </si>
  <si>
    <r>
      <rPr>
        <sz val="9.5"/>
        <rFont val="Arial"/>
        <family val="0"/>
        <charset val="1"/>
      </rPr>
      <t xml:space="preserve">12V </t>
    </r>
    <r>
      <rPr>
        <sz val="9.5"/>
        <rFont val="Noto Sans CJK SC"/>
        <family val="2"/>
      </rPr>
      <t xml:space="preserve">연속 ≥</t>
    </r>
    <r>
      <rPr>
        <sz val="9.5"/>
        <rFont val="Arial"/>
        <family val="0"/>
        <charset val="1"/>
      </rPr>
      <t xml:space="preserve">8A, </t>
    </r>
    <r>
      <rPr>
        <sz val="9.5"/>
        <rFont val="Noto Sans CJK SC"/>
        <family val="2"/>
      </rPr>
      <t xml:space="preserve">피크 ≥</t>
    </r>
    <r>
      <rPr>
        <sz val="9.5"/>
        <rFont val="Arial"/>
        <family val="0"/>
        <charset val="1"/>
      </rPr>
      <t xml:space="preserve">10A, </t>
    </r>
    <r>
      <rPr>
        <sz val="9.5"/>
        <rFont val="Noto Sans CJK SC"/>
        <family val="2"/>
      </rPr>
      <t xml:space="preserve">효율 ≥</t>
    </r>
    <r>
      <rPr>
        <sz val="9.5"/>
        <rFont val="Arial"/>
        <family val="0"/>
        <charset val="1"/>
      </rPr>
      <t xml:space="preserve">90% </t>
    </r>
    <r>
      <rPr>
        <sz val="9.5"/>
        <rFont val="Noto Sans CJK SC"/>
        <family val="2"/>
      </rPr>
      <t xml:space="preserve">확인 전 전원 확정 금지</t>
    </r>
  </si>
  <si>
    <r>
      <rPr>
        <sz val="9.5"/>
        <rFont val="Noto Sans CJK SC"/>
        <family val="2"/>
      </rPr>
      <t xml:space="preserve">없음 </t>
    </r>
    <r>
      <rPr>
        <sz val="9.5"/>
        <rFont val="Arial"/>
        <family val="0"/>
        <charset val="1"/>
      </rPr>
      <t xml:space="preserve">(P10 </t>
    </r>
    <r>
      <rPr>
        <sz val="9.5"/>
        <rFont val="Noto Sans CJK SC"/>
        <family val="2"/>
      </rPr>
      <t xml:space="preserve">장착</t>
    </r>
    <r>
      <rPr>
        <sz val="9.5"/>
        <rFont val="Arial"/>
        <family val="0"/>
        <charset val="1"/>
      </rPr>
      <t xml:space="preserve">)</t>
    </r>
  </si>
  <si>
    <r>
      <rPr>
        <sz val="9.5"/>
        <rFont val="Arial"/>
        <family val="0"/>
        <charset val="1"/>
      </rPr>
      <t xml:space="preserve">5G </t>
    </r>
    <r>
      <rPr>
        <sz val="9.5"/>
        <rFont val="Noto Sans CJK SC"/>
        <family val="2"/>
      </rPr>
      <t xml:space="preserve">모뎀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안테나</t>
    </r>
  </si>
  <si>
    <r>
      <rPr>
        <sz val="9.5"/>
        <rFont val="Noto Sans CJK SC"/>
        <family val="2"/>
      </rPr>
      <t xml:space="preserve">모델 확정 → </t>
    </r>
    <r>
      <rPr>
        <sz val="9.5"/>
        <rFont val="Arial"/>
        <family val="0"/>
        <charset val="1"/>
      </rPr>
      <t xml:space="preserve">P10 </t>
    </r>
    <r>
      <rPr>
        <sz val="9.5"/>
        <rFont val="Noto Sans CJK SC"/>
        <family val="2"/>
      </rPr>
      <t xml:space="preserve">장착</t>
    </r>
    <r>
      <rPr>
        <sz val="9.5"/>
        <rFont val="Arial"/>
        <family val="0"/>
        <charset val="1"/>
      </rPr>
      <t xml:space="preserve">, SMA 4</t>
    </r>
    <r>
      <rPr>
        <sz val="9.5"/>
        <rFont val="Noto Sans CJK SC"/>
        <family val="2"/>
      </rPr>
      <t xml:space="preserve">홀 기가공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</si>
  <si>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견적 요청</t>
    </r>
    <r>
      <rPr>
        <b val="true"/>
        <sz val="10"/>
        <rFont val="Arial"/>
        <family val="0"/>
        <charset val="1"/>
      </rPr>
      <t xml:space="preserve">] KETI </t>
    </r>
    <r>
      <rPr>
        <b val="true"/>
        <sz val="10"/>
        <rFont val="Noto Sans CJK SC"/>
        <family val="2"/>
      </rPr>
      <t xml:space="preserve">모빌리티플랫폼연구센터 — </t>
    </r>
    <r>
      <rPr>
        <b val="true"/>
        <sz val="10"/>
        <rFont val="Arial"/>
        <family val="0"/>
        <charset val="1"/>
      </rPr>
      <t xml:space="preserve">SCOUT MINI </t>
    </r>
    <r>
      <rPr>
        <b val="true"/>
        <sz val="10"/>
        <rFont val="Noto Sans CJK SC"/>
        <family val="2"/>
      </rPr>
      <t xml:space="preserve">센서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컴퓨트 박스 판금 </t>
    </r>
    <r>
      <rPr>
        <b val="true"/>
        <sz val="10"/>
        <rFont val="Arial"/>
        <family val="0"/>
        <charset val="1"/>
      </rPr>
      <t xml:space="preserve">(REV 9, </t>
    </r>
    <r>
      <rPr>
        <b val="true"/>
        <sz val="10"/>
        <rFont val="Noto Sans CJK SC"/>
        <family val="2"/>
      </rPr>
      <t xml:space="preserve">최종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</si>
  <si>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품목</t>
    </r>
    <r>
      <rPr>
        <sz val="10"/>
        <rFont val="Arial"/>
        <family val="0"/>
        <charset val="1"/>
      </rPr>
      <t xml:space="preserve">: P01~P11 (FAB_PARTS </t>
    </r>
    <r>
      <rPr>
        <sz val="10"/>
        <rFont val="Noto Sans CJK SC"/>
        <family val="2"/>
      </rPr>
      <t xml:space="preserve">시트</t>
    </r>
    <r>
      <rPr>
        <sz val="10"/>
        <rFont val="Arial"/>
        <family val="0"/>
        <charset val="1"/>
      </rPr>
      <t xml:space="preserve">), 1</t>
    </r>
    <r>
      <rPr>
        <sz val="10"/>
        <rFont val="Noto Sans CJK SC"/>
        <family val="2"/>
      </rPr>
      <t xml:space="preserve">세트 </t>
    </r>
    <r>
      <rPr>
        <sz val="10"/>
        <rFont val="Arial"/>
        <family val="0"/>
        <charset val="1"/>
      </rPr>
      <t xml:space="preserve">(P06 8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P09 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옵션 수량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세트 </t>
    </r>
    <r>
      <rPr>
        <sz val="10"/>
        <rFont val="Arial"/>
        <family val="0"/>
        <charset val="1"/>
      </rPr>
      <t xml:space="preserve">/ 5</t>
    </r>
    <r>
      <rPr>
        <sz val="10"/>
        <rFont val="Noto Sans CJK SC"/>
        <family val="2"/>
      </rPr>
      <t xml:space="preserve">세트 단가 병기 요청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</si>
  <si>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재질</t>
    </r>
    <r>
      <rPr>
        <sz val="10"/>
        <rFont val="Arial"/>
        <family val="0"/>
        <charset val="1"/>
      </rPr>
      <t xml:space="preserve">: AL5052-H32 2.0T / 3.0T, AL6061-T6 5.0T (P05), AL6061-T6 25T (P11, CNC).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</si>
  <si>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공정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레이저 → </t>
    </r>
    <r>
      <rPr>
        <sz val="10"/>
        <rFont val="Arial"/>
        <family val="0"/>
        <charset val="1"/>
      </rPr>
      <t xml:space="preserve">PEM </t>
    </r>
    <r>
      <rPr>
        <sz val="10"/>
        <rFont val="Noto Sans CJK SC"/>
        <family val="2"/>
      </rPr>
      <t xml:space="preserve">압입 </t>
    </r>
    <r>
      <rPr>
        <sz val="10"/>
        <rFont val="Arial"/>
        <family val="0"/>
        <charset val="1"/>
      </rPr>
      <t xml:space="preserve">(PennEngineering CLSS </t>
    </r>
    <r>
      <rPr>
        <sz val="10"/>
        <rFont val="Noto Sans CJK SC"/>
        <family val="2"/>
      </rPr>
      <t xml:space="preserve">또는 동등</t>
    </r>
    <r>
      <rPr>
        <sz val="10"/>
        <rFont val="Arial"/>
        <family val="0"/>
        <charset val="1"/>
      </rPr>
      <t xml:space="preserve">, 62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절곡 → 벽 링 리벳 조립 </t>
    </r>
    <r>
      <rPr>
        <sz val="10"/>
        <rFont val="Arial"/>
        <family val="0"/>
        <charset val="1"/>
      </rPr>
      <t xml:space="preserve">(P02+P03+P09). P05/P11 </t>
    </r>
    <r>
      <rPr>
        <sz val="10"/>
        <rFont val="Noto Sans CJK SC"/>
        <family val="2"/>
      </rPr>
      <t xml:space="preserve">탭</t>
    </r>
    <r>
      <rPr>
        <sz val="10"/>
        <rFont val="Arial"/>
        <family val="0"/>
        <charset val="1"/>
      </rPr>
      <t xml:space="preserve">, P11 CNC.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</si>
  <si>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표면</t>
    </r>
    <r>
      <rPr>
        <sz val="10"/>
        <rFont val="Arial"/>
        <family val="0"/>
        <charset val="1"/>
      </rPr>
      <t xml:space="preserve">: [A] </t>
    </r>
    <r>
      <rPr>
        <sz val="10"/>
        <rFont val="Noto Sans CJK SC"/>
        <family val="2"/>
      </rPr>
      <t xml:space="preserve">무처리</t>
    </r>
    <r>
      <rPr>
        <sz val="10"/>
        <rFont val="Arial"/>
        <family val="0"/>
        <charset val="1"/>
      </rPr>
      <t xml:space="preserve">, [B] </t>
    </r>
    <r>
      <rPr>
        <sz val="10"/>
        <rFont val="Noto Sans CJK SC"/>
        <family val="2"/>
      </rPr>
      <t xml:space="preserve">흑색 분체도장 — 분리 견적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열접촉면 </t>
    </r>
    <r>
      <rPr>
        <sz val="10"/>
        <rFont val="Arial"/>
        <family val="0"/>
        <charset val="1"/>
      </rPr>
      <t xml:space="preserve">BARE: P05 </t>
    </r>
    <r>
      <rPr>
        <sz val="10"/>
        <rFont val="Noto Sans CJK SC"/>
        <family val="2"/>
      </rPr>
      <t xml:space="preserve">상면 </t>
    </r>
    <r>
      <rPr>
        <sz val="10"/>
        <rFont val="Arial"/>
        <family val="0"/>
        <charset val="1"/>
      </rPr>
      <t xml:space="preserve">Ø100·</t>
    </r>
    <r>
      <rPr>
        <sz val="10"/>
        <rFont val="Noto Sans CJK SC"/>
        <family val="2"/>
      </rPr>
      <t xml:space="preserve">하면</t>
    </r>
    <r>
      <rPr>
        <sz val="10"/>
        <rFont val="Arial"/>
        <family val="0"/>
        <charset val="1"/>
      </rPr>
      <t xml:space="preserve">, P11 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, P04 140×140.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</si>
  <si>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첨부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도면 </t>
    </r>
    <r>
      <rPr>
        <sz val="10"/>
        <rFont val="Arial"/>
        <family val="0"/>
        <charset val="1"/>
      </rPr>
      <t xml:space="preserve">PDF 10</t>
    </r>
    <r>
      <rPr>
        <sz val="10"/>
        <rFont val="Noto Sans CJK SC"/>
        <family val="2"/>
      </rPr>
      <t xml:space="preserve">매</t>
    </r>
    <r>
      <rPr>
        <sz val="10"/>
        <rFont val="Arial"/>
        <family val="0"/>
        <charset val="1"/>
      </rPr>
      <t xml:space="preserve">, DXF 11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홀 </t>
    </r>
    <r>
      <rPr>
        <sz val="10"/>
        <rFont val="Arial"/>
        <family val="0"/>
        <charset val="1"/>
      </rPr>
      <t xml:space="preserve">MASTER), STEP (</t>
    </r>
    <r>
      <rPr>
        <sz val="10"/>
        <rFont val="Noto Sans CJK SC"/>
        <family val="2"/>
      </rPr>
      <t xml:space="preserve">조립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본 </t>
    </r>
    <r>
      <rPr>
        <sz val="10"/>
        <rFont val="Arial"/>
        <family val="0"/>
        <charset val="1"/>
      </rPr>
      <t xml:space="preserve">BOM.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</si>
  <si>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견적서 </t>
    </r>
    <r>
      <rPr>
        <sz val="10"/>
        <rFont val="Arial"/>
        <family val="0"/>
        <charset val="1"/>
      </rPr>
      <t xml:space="preserve">(A/B), </t>
    </r>
    <r>
      <rPr>
        <sz val="10"/>
        <rFont val="Noto Sans CJK SC"/>
        <family val="2"/>
      </rPr>
      <t xml:space="preserve">납기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제작사 </t>
    </r>
    <r>
      <rPr>
        <sz val="10"/>
        <rFont val="Arial"/>
        <family val="0"/>
        <charset val="1"/>
      </rPr>
      <t xml:space="preserve">BD </t>
    </r>
    <r>
      <rPr>
        <sz val="10"/>
        <rFont val="Noto Sans CJK SC"/>
        <family val="2"/>
      </rPr>
      <t xml:space="preserve">반영 재전개 </t>
    </r>
    <r>
      <rPr>
        <sz val="10"/>
        <rFont val="Arial"/>
        <family val="0"/>
        <charset val="1"/>
      </rPr>
      <t xml:space="preserve">DXF </t>
    </r>
    <r>
      <rPr>
        <sz val="10"/>
        <rFont val="Noto Sans CJK SC"/>
        <family val="2"/>
      </rPr>
      <t xml:space="preserve">사전 회신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첫 절곡품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벽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면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치수 확인 후 본 가공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</si>
  <si>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7.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도면 </t>
    </r>
    <r>
      <rPr>
        <sz val="10"/>
        <rFont val="Arial"/>
        <family val="0"/>
        <charset val="1"/>
      </rPr>
      <t xml:space="preserve">SHEET 9 </t>
    </r>
    <r>
      <rPr>
        <sz val="10"/>
        <rFont val="Noto Sans CJK SC"/>
        <family val="2"/>
      </rPr>
      <t xml:space="preserve">출하검사 항목 </t>
    </r>
    <r>
      <rPr>
        <sz val="10"/>
        <rFont val="Arial"/>
        <family val="0"/>
        <charset val="1"/>
      </rPr>
      <t xml:space="preserve">(AF300±0.5, H125±0.3, </t>
    </r>
    <r>
      <rPr>
        <sz val="10"/>
        <rFont val="Noto Sans CJK SC"/>
        <family val="2"/>
      </rPr>
      <t xml:space="preserve">플랜지 </t>
    </r>
    <r>
      <rPr>
        <sz val="10"/>
        <rFont val="Arial"/>
        <family val="0"/>
        <charset val="1"/>
      </rPr>
      <t xml:space="preserve">19±0.3, PEM </t>
    </r>
    <r>
      <rPr>
        <sz val="10"/>
        <rFont val="Noto Sans CJK SC"/>
        <family val="2"/>
      </rPr>
      <t xml:space="preserve">전수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가조립 체결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</si>
  <si>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8. 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체결류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커넥터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장치 </t>
    </r>
    <r>
      <rPr>
        <sz val="10"/>
        <rFont val="Arial"/>
        <family val="0"/>
        <charset val="1"/>
      </rPr>
      <t xml:space="preserve">(PURCHASED </t>
    </r>
    <r>
      <rPr>
        <sz val="10"/>
        <rFont val="Noto Sans CJK SC"/>
        <family val="2"/>
      </rPr>
      <t xml:space="preserve">시트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별도 구매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장치 종속 홀 </t>
    </r>
    <r>
      <rPr>
        <sz val="10"/>
        <rFont val="Arial"/>
        <family val="0"/>
        <charset val="1"/>
      </rPr>
      <t xml:space="preserve">(HOLD) </t>
    </r>
    <r>
      <rPr>
        <sz val="10"/>
        <rFont val="Noto Sans CJK SC"/>
        <family val="2"/>
      </rPr>
      <t xml:space="preserve">가공 제외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</si>
  <si>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9. </t>
    </r>
    <r>
      <rPr>
        <sz val="10"/>
        <rFont val="Noto Sans CJK SC"/>
        <family val="2"/>
      </rPr>
      <t xml:space="preserve">문의</t>
    </r>
    <r>
      <rPr>
        <sz val="10"/>
        <rFont val="Arial"/>
        <family val="0"/>
        <charset val="1"/>
      </rPr>
      <t xml:space="preserve">: hwkim3@keti.re.kr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</si>
</sst>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sz val="9.5"/>
      <name val="Noto Sans CJK SC"/>
      <family val="2"/>
    </font>
    <font>
      <b val="true"/>
      <sz val="11"/>
      <name val="Noto Sans CJK SC"/>
      <family val="2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3" min="10" style="0" width="14"/>
  </cols>
  <sheetData>
    <row r="1" customFormat="false" ht="15" hidden="false" customHeight="false" outlineLevel="0" collapsed="false">
      <c r="A1" s="1" t="s">
        <v>0</v>
      </c>
    </row>
    <row r="3" customFormat="false" ht="29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26.85" hidden="false" customHeight="false" outlineLevel="0" collapsed="false">
      <c r="A4" s="4" t="s">
        <v>14</v>
      </c>
      <c r="B4" s="4" t="s">
        <v>15</v>
      </c>
      <c r="C4" s="4" t="s">
        <v>16</v>
      </c>
      <c r="D4" s="4" t="n">
        <v>3</v>
      </c>
      <c r="E4" s="4" t="n">
        <v>1</v>
      </c>
      <c r="F4" s="4" t="s">
        <v>17</v>
      </c>
      <c r="G4" s="4" t="s">
        <v>18</v>
      </c>
      <c r="H4" s="4" t="s">
        <v>19</v>
      </c>
      <c r="I4" s="4" t="n">
        <v>671</v>
      </c>
      <c r="J4" s="5"/>
      <c r="K4" s="5"/>
      <c r="L4" s="6" t="n">
        <f aca="false">E4*J4</f>
        <v>0</v>
      </c>
      <c r="M4" s="6" t="n">
        <f aca="false">E4*K4</f>
        <v>0</v>
      </c>
    </row>
    <row r="5" customFormat="false" ht="15" hidden="false" customHeight="false" outlineLevel="0" collapsed="false">
      <c r="A5" s="4" t="s">
        <v>20</v>
      </c>
      <c r="B5" s="4" t="s">
        <v>21</v>
      </c>
      <c r="C5" s="4" t="s">
        <v>16</v>
      </c>
      <c r="D5" s="4" t="n">
        <v>2</v>
      </c>
      <c r="E5" s="4" t="n">
        <v>1</v>
      </c>
      <c r="F5" s="4" t="s">
        <v>22</v>
      </c>
      <c r="G5" s="4" t="s">
        <v>23</v>
      </c>
      <c r="H5" s="4" t="s">
        <v>24</v>
      </c>
      <c r="I5" s="4" t="n">
        <v>394</v>
      </c>
      <c r="J5" s="5"/>
      <c r="K5" s="5"/>
      <c r="L5" s="6" t="n">
        <f aca="false">E5*J5</f>
        <v>0</v>
      </c>
      <c r="M5" s="6" t="n">
        <f aca="false">E5*K5</f>
        <v>0</v>
      </c>
    </row>
    <row r="6" customFormat="false" ht="15" hidden="false" customHeight="false" outlineLevel="0" collapsed="false">
      <c r="A6" s="4" t="s">
        <v>25</v>
      </c>
      <c r="B6" s="4" t="s">
        <v>26</v>
      </c>
      <c r="C6" s="4" t="s">
        <v>16</v>
      </c>
      <c r="D6" s="4" t="n">
        <v>2</v>
      </c>
      <c r="E6" s="4" t="n">
        <v>1</v>
      </c>
      <c r="F6" s="4" t="s">
        <v>22</v>
      </c>
      <c r="G6" s="4" t="s">
        <v>27</v>
      </c>
      <c r="H6" s="4" t="s">
        <v>28</v>
      </c>
      <c r="I6" s="4" t="n">
        <v>371</v>
      </c>
      <c r="J6" s="5"/>
      <c r="K6" s="5"/>
      <c r="L6" s="6" t="n">
        <f aca="false">E6*J6</f>
        <v>0</v>
      </c>
      <c r="M6" s="6" t="n">
        <f aca="false">E6*K6</f>
        <v>0</v>
      </c>
    </row>
    <row r="7" customFormat="false" ht="26.85" hidden="false" customHeight="false" outlineLevel="0" collapsed="false">
      <c r="A7" s="4" t="s">
        <v>29</v>
      </c>
      <c r="B7" s="4" t="s">
        <v>30</v>
      </c>
      <c r="C7" s="4" t="s">
        <v>16</v>
      </c>
      <c r="D7" s="4" t="n">
        <v>2</v>
      </c>
      <c r="E7" s="4" t="n">
        <v>1</v>
      </c>
      <c r="F7" s="4" t="s">
        <v>17</v>
      </c>
      <c r="G7" s="4" t="s">
        <v>31</v>
      </c>
      <c r="H7" s="4" t="s">
        <v>32</v>
      </c>
      <c r="I7" s="4" t="n">
        <v>411</v>
      </c>
      <c r="J7" s="5"/>
      <c r="K7" s="5"/>
      <c r="L7" s="6" t="n">
        <f aca="false">E7*J7</f>
        <v>0</v>
      </c>
      <c r="M7" s="6" t="n">
        <f aca="false">E7*K7</f>
        <v>0</v>
      </c>
    </row>
    <row r="8" customFormat="false" ht="29.85" hidden="false" customHeight="false" outlineLevel="0" collapsed="false">
      <c r="A8" s="4" t="s">
        <v>33</v>
      </c>
      <c r="B8" s="4" t="s">
        <v>34</v>
      </c>
      <c r="C8" s="4" t="s">
        <v>35</v>
      </c>
      <c r="D8" s="4" t="n">
        <v>5</v>
      </c>
      <c r="E8" s="4" t="n">
        <v>1</v>
      </c>
      <c r="F8" s="4" t="s">
        <v>36</v>
      </c>
      <c r="G8" s="4" t="s">
        <v>37</v>
      </c>
      <c r="H8" s="4" t="s">
        <v>38</v>
      </c>
      <c r="I8" s="4" t="n">
        <v>261</v>
      </c>
      <c r="J8" s="5"/>
      <c r="K8" s="5"/>
      <c r="L8" s="6" t="n">
        <f aca="false">E8*J8</f>
        <v>0</v>
      </c>
      <c r="M8" s="6" t="n">
        <f aca="false">E8*K8</f>
        <v>0</v>
      </c>
    </row>
    <row r="9" customFormat="false" ht="15" hidden="false" customHeight="false" outlineLevel="0" collapsed="false">
      <c r="A9" s="4" t="s">
        <v>39</v>
      </c>
      <c r="B9" s="4" t="s">
        <v>40</v>
      </c>
      <c r="C9" s="4" t="s">
        <v>16</v>
      </c>
      <c r="D9" s="4" t="n">
        <v>2</v>
      </c>
      <c r="E9" s="4" t="n">
        <v>8</v>
      </c>
      <c r="F9" s="4" t="s">
        <v>17</v>
      </c>
      <c r="G9" s="4" t="s">
        <v>41</v>
      </c>
      <c r="H9" s="4" t="s">
        <v>42</v>
      </c>
      <c r="I9" s="4" t="n">
        <v>17</v>
      </c>
      <c r="J9" s="5"/>
      <c r="K9" s="5"/>
      <c r="L9" s="6" t="n">
        <f aca="false">E9*J9</f>
        <v>0</v>
      </c>
      <c r="M9" s="6" t="n">
        <f aca="false">E9*K9</f>
        <v>0</v>
      </c>
    </row>
    <row r="10" customFormat="false" ht="15" hidden="false" customHeight="false" outlineLevel="0" collapsed="false">
      <c r="A10" s="4" t="s">
        <v>43</v>
      </c>
      <c r="B10" s="4" t="s">
        <v>44</v>
      </c>
      <c r="C10" s="4" t="s">
        <v>16</v>
      </c>
      <c r="D10" s="4" t="n">
        <v>2</v>
      </c>
      <c r="E10" s="4" t="n">
        <v>1</v>
      </c>
      <c r="F10" s="4" t="s">
        <v>17</v>
      </c>
      <c r="G10" s="4" t="s">
        <v>45</v>
      </c>
      <c r="H10" s="4" t="s">
        <v>46</v>
      </c>
      <c r="I10" s="4" t="n">
        <v>34</v>
      </c>
      <c r="J10" s="5"/>
      <c r="K10" s="5"/>
      <c r="L10" s="6" t="n">
        <f aca="false">E10*J10</f>
        <v>0</v>
      </c>
      <c r="M10" s="6" t="n">
        <f aca="false">E10*K10</f>
        <v>0</v>
      </c>
    </row>
    <row r="11" customFormat="false" ht="26.85" hidden="false" customHeight="false" outlineLevel="0" collapsed="false">
      <c r="A11" s="4" t="s">
        <v>47</v>
      </c>
      <c r="B11" s="4" t="s">
        <v>48</v>
      </c>
      <c r="C11" s="4" t="s">
        <v>16</v>
      </c>
      <c r="D11" s="4" t="n">
        <v>2</v>
      </c>
      <c r="E11" s="4" t="n">
        <v>1</v>
      </c>
      <c r="F11" s="4" t="s">
        <v>49</v>
      </c>
      <c r="G11" s="4" t="s">
        <v>50</v>
      </c>
      <c r="H11" s="4" t="s">
        <v>51</v>
      </c>
      <c r="I11" s="4" t="n">
        <v>68</v>
      </c>
      <c r="J11" s="5"/>
      <c r="K11" s="5"/>
      <c r="L11" s="6" t="n">
        <f aca="false">E11*J11</f>
        <v>0</v>
      </c>
      <c r="M11" s="6" t="n">
        <f aca="false">E11*K11</f>
        <v>0</v>
      </c>
    </row>
    <row r="12" customFormat="false" ht="15" hidden="false" customHeight="false" outlineLevel="0" collapsed="false">
      <c r="A12" s="4" t="s">
        <v>52</v>
      </c>
      <c r="B12" s="4" t="s">
        <v>53</v>
      </c>
      <c r="C12" s="4" t="s">
        <v>16</v>
      </c>
      <c r="D12" s="4" t="n">
        <v>2</v>
      </c>
      <c r="E12" s="4" t="n">
        <v>2</v>
      </c>
      <c r="F12" s="4" t="s">
        <v>54</v>
      </c>
      <c r="G12" s="4" t="s">
        <v>45</v>
      </c>
      <c r="H12" s="4" t="s">
        <v>55</v>
      </c>
      <c r="I12" s="4" t="n">
        <v>23</v>
      </c>
      <c r="J12" s="5"/>
      <c r="K12" s="5"/>
      <c r="L12" s="6" t="n">
        <f aca="false">E12*J12</f>
        <v>0</v>
      </c>
      <c r="M12" s="6" t="n">
        <f aca="false">E12*K12</f>
        <v>0</v>
      </c>
    </row>
    <row r="13" customFormat="false" ht="15" hidden="false" customHeight="false" outlineLevel="0" collapsed="false">
      <c r="A13" s="4" t="s">
        <v>56</v>
      </c>
      <c r="B13" s="4" t="s">
        <v>57</v>
      </c>
      <c r="C13" s="4" t="s">
        <v>16</v>
      </c>
      <c r="D13" s="4" t="n">
        <v>2</v>
      </c>
      <c r="E13" s="4" t="n">
        <v>1</v>
      </c>
      <c r="F13" s="4" t="s">
        <v>17</v>
      </c>
      <c r="G13" s="4" t="s">
        <v>58</v>
      </c>
      <c r="H13" s="4" t="s">
        <v>59</v>
      </c>
      <c r="I13" s="4" t="n">
        <v>156</v>
      </c>
      <c r="J13" s="5"/>
      <c r="K13" s="5"/>
      <c r="L13" s="6" t="n">
        <f aca="false">E13*J13</f>
        <v>0</v>
      </c>
      <c r="M13" s="6" t="n">
        <f aca="false">E13*K13</f>
        <v>0</v>
      </c>
    </row>
    <row r="14" customFormat="false" ht="29.85" hidden="false" customHeight="false" outlineLevel="0" collapsed="false">
      <c r="A14" s="4" t="s">
        <v>60</v>
      </c>
      <c r="B14" s="4" t="s">
        <v>61</v>
      </c>
      <c r="C14" s="4" t="s">
        <v>35</v>
      </c>
      <c r="D14" s="4" t="n">
        <v>25</v>
      </c>
      <c r="E14" s="4" t="n">
        <v>1</v>
      </c>
      <c r="F14" s="4" t="s">
        <v>62</v>
      </c>
      <c r="G14" s="7" t="s">
        <v>63</v>
      </c>
      <c r="H14" s="4" t="s">
        <v>64</v>
      </c>
      <c r="I14" s="4" t="n">
        <v>532</v>
      </c>
      <c r="J14" s="5"/>
      <c r="K14" s="5"/>
      <c r="L14" s="6" t="n">
        <f aca="false">E14*J14</f>
        <v>0</v>
      </c>
      <c r="M14" s="6" t="n">
        <f aca="false">E14*K14</f>
        <v>0</v>
      </c>
    </row>
    <row r="15" customFormat="false" ht="15" hidden="false" customHeight="false" outlineLevel="0" collapsed="false">
      <c r="B15" s="8" t="s">
        <v>65</v>
      </c>
      <c r="G15" s="9" t="s">
        <v>66</v>
      </c>
      <c r="I15" s="10" t="n">
        <f aca="false">SUMPRODUCT(E4:E14,I4:I14)</f>
        <v>3080</v>
      </c>
      <c r="L15" s="10" t="n">
        <f aca="false">SUM(L4:L14)</f>
        <v>0</v>
      </c>
      <c r="M15" s="10" t="n">
        <f aca="false">SUM(M4:M14)</f>
        <v>0</v>
      </c>
    </row>
    <row r="17" customFormat="false" ht="15" hidden="false" customHeight="false" outlineLevel="0" collapsed="false">
      <c r="A17" s="11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1" t="s">
        <v>68</v>
      </c>
    </row>
    <row r="3" customFormat="false" ht="15" hidden="false" customHeight="false" outlineLevel="0" collapsed="false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</row>
    <row r="4" customFormat="false" ht="15" hidden="false" customHeight="false" outlineLevel="0" collapsed="false">
      <c r="A4" s="4" t="s">
        <v>80</v>
      </c>
      <c r="B4" s="4" t="s">
        <v>81</v>
      </c>
      <c r="C4" s="4" t="s">
        <v>82</v>
      </c>
      <c r="D4" s="4" t="n">
        <v>40</v>
      </c>
      <c r="E4" s="4" t="n">
        <v>10</v>
      </c>
      <c r="F4" s="4" t="n">
        <f aca="false">D4+E4</f>
        <v>50</v>
      </c>
      <c r="G4" s="7" t="s">
        <v>83</v>
      </c>
      <c r="H4" s="4"/>
      <c r="I4" s="5"/>
      <c r="J4" s="12" t="n">
        <f aca="false">F4*I4</f>
        <v>0</v>
      </c>
      <c r="K4" s="13"/>
    </row>
    <row r="5" customFormat="false" ht="15" hidden="false" customHeight="false" outlineLevel="0" collapsed="false">
      <c r="A5" s="4" t="s">
        <v>80</v>
      </c>
      <c r="B5" s="4" t="s">
        <v>84</v>
      </c>
      <c r="C5" s="4" t="s">
        <v>82</v>
      </c>
      <c r="D5" s="4" t="n">
        <v>16</v>
      </c>
      <c r="E5" s="4" t="n">
        <v>4</v>
      </c>
      <c r="F5" s="4" t="n">
        <f aca="false">D5+E5</f>
        <v>20</v>
      </c>
      <c r="G5" s="7" t="s">
        <v>85</v>
      </c>
      <c r="H5" s="4"/>
      <c r="I5" s="5"/>
      <c r="J5" s="12" t="n">
        <f aca="false">F5*I5</f>
        <v>0</v>
      </c>
      <c r="K5" s="13"/>
    </row>
    <row r="6" customFormat="false" ht="15" hidden="false" customHeight="false" outlineLevel="0" collapsed="false">
      <c r="A6" s="4" t="s">
        <v>80</v>
      </c>
      <c r="B6" s="4" t="s">
        <v>86</v>
      </c>
      <c r="C6" s="4" t="s">
        <v>82</v>
      </c>
      <c r="D6" s="4" t="n">
        <v>4</v>
      </c>
      <c r="E6" s="4" t="n">
        <v>2</v>
      </c>
      <c r="F6" s="4" t="n">
        <f aca="false">D6+E6</f>
        <v>6</v>
      </c>
      <c r="G6" s="4" t="s">
        <v>87</v>
      </c>
      <c r="H6" s="4"/>
      <c r="I6" s="5"/>
      <c r="J6" s="12" t="n">
        <f aca="false">F6*I6</f>
        <v>0</v>
      </c>
      <c r="K6" s="13"/>
    </row>
    <row r="7" customFormat="false" ht="15" hidden="false" customHeight="false" outlineLevel="0" collapsed="false">
      <c r="A7" s="4" t="s">
        <v>80</v>
      </c>
      <c r="B7" s="4" t="s">
        <v>88</v>
      </c>
      <c r="C7" s="4" t="s">
        <v>82</v>
      </c>
      <c r="D7" s="4" t="n">
        <v>4</v>
      </c>
      <c r="E7" s="4" t="n">
        <v>2</v>
      </c>
      <c r="F7" s="4" t="n">
        <f aca="false">D7+E7</f>
        <v>6</v>
      </c>
      <c r="G7" s="4" t="s">
        <v>89</v>
      </c>
      <c r="H7" s="7" t="s">
        <v>90</v>
      </c>
      <c r="I7" s="5"/>
      <c r="J7" s="12" t="n">
        <f aca="false">F7*I7</f>
        <v>0</v>
      </c>
      <c r="K7" s="13"/>
    </row>
    <row r="8" customFormat="false" ht="15" hidden="false" customHeight="false" outlineLevel="0" collapsed="false">
      <c r="A8" s="4" t="s">
        <v>80</v>
      </c>
      <c r="B8" s="4" t="s">
        <v>91</v>
      </c>
      <c r="C8" s="4" t="s">
        <v>82</v>
      </c>
      <c r="D8" s="4" t="n">
        <v>4</v>
      </c>
      <c r="E8" s="4" t="n">
        <v>2</v>
      </c>
      <c r="F8" s="4" t="n">
        <f aca="false">D8+E8</f>
        <v>6</v>
      </c>
      <c r="G8" s="7" t="s">
        <v>92</v>
      </c>
      <c r="H8" s="7" t="s">
        <v>93</v>
      </c>
      <c r="I8" s="5"/>
      <c r="J8" s="12" t="n">
        <f aca="false">F8*I8</f>
        <v>0</v>
      </c>
      <c r="K8" s="13"/>
    </row>
    <row r="9" customFormat="false" ht="15" hidden="false" customHeight="false" outlineLevel="0" collapsed="false">
      <c r="A9" s="4" t="s">
        <v>80</v>
      </c>
      <c r="B9" s="4" t="s">
        <v>94</v>
      </c>
      <c r="C9" s="7" t="s">
        <v>95</v>
      </c>
      <c r="D9" s="4" t="n">
        <v>4</v>
      </c>
      <c r="E9" s="4" t="n">
        <v>2</v>
      </c>
      <c r="F9" s="4" t="n">
        <f aca="false">D9+E9</f>
        <v>6</v>
      </c>
      <c r="G9" s="7" t="s">
        <v>96</v>
      </c>
      <c r="H9" s="4" t="s">
        <v>97</v>
      </c>
      <c r="I9" s="5"/>
      <c r="J9" s="12" t="n">
        <f aca="false">F9*I9</f>
        <v>0</v>
      </c>
      <c r="K9" s="13"/>
    </row>
    <row r="10" customFormat="false" ht="15" hidden="false" customHeight="false" outlineLevel="0" collapsed="false">
      <c r="A10" s="4" t="s">
        <v>80</v>
      </c>
      <c r="B10" s="4" t="s">
        <v>98</v>
      </c>
      <c r="C10" s="4" t="s">
        <v>82</v>
      </c>
      <c r="D10" s="4" t="n">
        <v>6</v>
      </c>
      <c r="E10" s="4" t="n">
        <v>4</v>
      </c>
      <c r="F10" s="4" t="n">
        <f aca="false">D10+E10</f>
        <v>10</v>
      </c>
      <c r="G10" s="4" t="s">
        <v>99</v>
      </c>
      <c r="H10" s="4"/>
      <c r="I10" s="5"/>
      <c r="J10" s="12" t="n">
        <f aca="false">F10*I10</f>
        <v>0</v>
      </c>
      <c r="K10" s="13"/>
    </row>
    <row r="11" customFormat="false" ht="15" hidden="false" customHeight="false" outlineLevel="0" collapsed="false">
      <c r="A11" s="4" t="s">
        <v>80</v>
      </c>
      <c r="B11" s="4" t="s">
        <v>100</v>
      </c>
      <c r="C11" s="4" t="s">
        <v>101</v>
      </c>
      <c r="D11" s="4" t="n">
        <v>4</v>
      </c>
      <c r="E11" s="4" t="n">
        <v>0</v>
      </c>
      <c r="F11" s="4" t="n">
        <f aca="false">D11+E11</f>
        <v>4</v>
      </c>
      <c r="G11" s="4" t="s">
        <v>102</v>
      </c>
      <c r="H11" s="4" t="s">
        <v>103</v>
      </c>
      <c r="I11" s="5"/>
      <c r="J11" s="12" t="n">
        <f aca="false">F11*I11</f>
        <v>0</v>
      </c>
      <c r="K11" s="13"/>
    </row>
    <row r="12" customFormat="false" ht="15" hidden="false" customHeight="false" outlineLevel="0" collapsed="false">
      <c r="A12" s="4" t="s">
        <v>80</v>
      </c>
      <c r="B12" s="4" t="s">
        <v>104</v>
      </c>
      <c r="C12" s="4" t="s">
        <v>101</v>
      </c>
      <c r="D12" s="4" t="n">
        <v>8</v>
      </c>
      <c r="E12" s="4" t="n">
        <v>0</v>
      </c>
      <c r="F12" s="4" t="n">
        <f aca="false">D12+E12</f>
        <v>8</v>
      </c>
      <c r="G12" s="4" t="s">
        <v>105</v>
      </c>
      <c r="H12" s="7" t="s">
        <v>106</v>
      </c>
      <c r="I12" s="5"/>
      <c r="J12" s="12" t="n">
        <f aca="false">F12*I12</f>
        <v>0</v>
      </c>
      <c r="K12" s="13"/>
    </row>
    <row r="13" customFormat="false" ht="15" hidden="false" customHeight="false" outlineLevel="0" collapsed="false">
      <c r="A13" s="4" t="s">
        <v>80</v>
      </c>
      <c r="B13" s="7" t="s">
        <v>107</v>
      </c>
      <c r="C13" s="4" t="s">
        <v>108</v>
      </c>
      <c r="D13" s="4" t="n">
        <v>12</v>
      </c>
      <c r="E13" s="4" t="n">
        <v>8</v>
      </c>
      <c r="F13" s="4" t="n">
        <f aca="false">D13+E13</f>
        <v>20</v>
      </c>
      <c r="G13" s="7" t="s">
        <v>109</v>
      </c>
      <c r="H13" s="7" t="s">
        <v>110</v>
      </c>
      <c r="I13" s="5"/>
      <c r="J13" s="12" t="n">
        <f aca="false">F13*I13</f>
        <v>0</v>
      </c>
      <c r="K13" s="13"/>
    </row>
    <row r="14" customFormat="false" ht="15" hidden="false" customHeight="false" outlineLevel="0" collapsed="false">
      <c r="A14" s="4" t="s">
        <v>80</v>
      </c>
      <c r="B14" s="4" t="s">
        <v>111</v>
      </c>
      <c r="C14" s="4" t="s">
        <v>101</v>
      </c>
      <c r="D14" s="4" t="n">
        <v>6</v>
      </c>
      <c r="E14" s="4" t="n">
        <v>2</v>
      </c>
      <c r="F14" s="4" t="n">
        <f aca="false">D14+E14</f>
        <v>8</v>
      </c>
      <c r="G14" s="4" t="s">
        <v>112</v>
      </c>
      <c r="H14" s="4"/>
      <c r="I14" s="5"/>
      <c r="J14" s="12" t="n">
        <f aca="false">F14*I14</f>
        <v>0</v>
      </c>
      <c r="K14" s="13"/>
    </row>
    <row r="15" customFormat="false" ht="15" hidden="false" customHeight="false" outlineLevel="0" collapsed="false">
      <c r="A15" s="4" t="s">
        <v>80</v>
      </c>
      <c r="B15" s="4" t="s">
        <v>113</v>
      </c>
      <c r="C15" s="4" t="s">
        <v>82</v>
      </c>
      <c r="D15" s="4" t="n">
        <v>6</v>
      </c>
      <c r="E15" s="4" t="n">
        <v>2</v>
      </c>
      <c r="F15" s="4" t="n">
        <f aca="false">D15+E15</f>
        <v>8</v>
      </c>
      <c r="G15" s="4" t="s">
        <v>114</v>
      </c>
      <c r="H15" s="4"/>
      <c r="I15" s="5"/>
      <c r="J15" s="12" t="n">
        <f aca="false">F15*I15</f>
        <v>0</v>
      </c>
      <c r="K15" s="13"/>
    </row>
    <row r="16" customFormat="false" ht="26.85" hidden="false" customHeight="false" outlineLevel="0" collapsed="false">
      <c r="A16" s="4" t="s">
        <v>80</v>
      </c>
      <c r="B16" s="4" t="s">
        <v>115</v>
      </c>
      <c r="C16" s="4" t="s">
        <v>116</v>
      </c>
      <c r="D16" s="4" t="n">
        <v>1</v>
      </c>
      <c r="E16" s="4" t="n">
        <v>0</v>
      </c>
      <c r="F16" s="4" t="n">
        <f aca="false">D16+E16</f>
        <v>1</v>
      </c>
      <c r="G16" s="4" t="s">
        <v>117</v>
      </c>
      <c r="H16" s="4" t="s">
        <v>118</v>
      </c>
      <c r="I16" s="5"/>
      <c r="J16" s="12" t="n">
        <f aca="false">F16*I16</f>
        <v>0</v>
      </c>
      <c r="K16" s="13"/>
    </row>
    <row r="17" customFormat="false" ht="15" hidden="false" customHeight="false" outlineLevel="0" collapsed="false">
      <c r="A17" s="4" t="s">
        <v>80</v>
      </c>
      <c r="B17" s="4" t="s">
        <v>119</v>
      </c>
      <c r="C17" s="4" t="s">
        <v>120</v>
      </c>
      <c r="D17" s="4" t="n">
        <v>4</v>
      </c>
      <c r="E17" s="4" t="n">
        <v>2</v>
      </c>
      <c r="F17" s="4" t="n">
        <f aca="false">D17+E17</f>
        <v>6</v>
      </c>
      <c r="G17" s="4" t="s">
        <v>121</v>
      </c>
      <c r="H17" s="7" t="s">
        <v>122</v>
      </c>
      <c r="I17" s="5"/>
      <c r="J17" s="12" t="n">
        <f aca="false">F17*I17</f>
        <v>0</v>
      </c>
      <c r="K17" s="13"/>
    </row>
    <row r="18" customFormat="false" ht="15" hidden="false" customHeight="false" outlineLevel="0" collapsed="false">
      <c r="A18" s="4" t="s">
        <v>80</v>
      </c>
      <c r="B18" s="4" t="s">
        <v>123</v>
      </c>
      <c r="C18" s="4" t="s">
        <v>124</v>
      </c>
      <c r="D18" s="4" t="n">
        <v>24</v>
      </c>
      <c r="E18" s="4" t="n">
        <v>8</v>
      </c>
      <c r="F18" s="4" t="n">
        <f aca="false">D18+E18</f>
        <v>32</v>
      </c>
      <c r="G18" s="4" t="s">
        <v>125</v>
      </c>
      <c r="H18" s="4" t="s">
        <v>126</v>
      </c>
      <c r="I18" s="5"/>
      <c r="J18" s="12" t="n">
        <f aca="false">F18*I18</f>
        <v>0</v>
      </c>
      <c r="K18" s="13"/>
    </row>
    <row r="19" customFormat="false" ht="26.85" hidden="false" customHeight="false" outlineLevel="0" collapsed="false">
      <c r="A19" s="4" t="s">
        <v>127</v>
      </c>
      <c r="B19" s="7" t="s">
        <v>128</v>
      </c>
      <c r="C19" s="7" t="s">
        <v>129</v>
      </c>
      <c r="D19" s="4" t="n">
        <v>1</v>
      </c>
      <c r="E19" s="4" t="n">
        <v>1</v>
      </c>
      <c r="F19" s="4" t="n">
        <f aca="false">D19+E19</f>
        <v>2</v>
      </c>
      <c r="G19" s="4" t="s">
        <v>130</v>
      </c>
      <c r="H19" s="7" t="s">
        <v>131</v>
      </c>
      <c r="I19" s="5"/>
      <c r="J19" s="12" t="n">
        <f aca="false">F19*I19</f>
        <v>0</v>
      </c>
      <c r="K19" s="13"/>
    </row>
    <row r="20" customFormat="false" ht="23.85" hidden="false" customHeight="false" outlineLevel="0" collapsed="false">
      <c r="A20" s="4" t="s">
        <v>127</v>
      </c>
      <c r="B20" s="7" t="s">
        <v>132</v>
      </c>
      <c r="C20" s="4" t="s">
        <v>133</v>
      </c>
      <c r="D20" s="4" t="n">
        <v>1</v>
      </c>
      <c r="E20" s="4" t="n">
        <v>0</v>
      </c>
      <c r="F20" s="4" t="n">
        <f aca="false">D20+E20</f>
        <v>1</v>
      </c>
      <c r="G20" s="4" t="s">
        <v>134</v>
      </c>
      <c r="H20" s="4" t="s">
        <v>135</v>
      </c>
      <c r="I20" s="5"/>
      <c r="J20" s="12" t="n">
        <f aca="false">F20*I20</f>
        <v>0</v>
      </c>
      <c r="K20" s="13"/>
    </row>
    <row r="21" customFormat="false" ht="23.85" hidden="false" customHeight="false" outlineLevel="0" collapsed="false">
      <c r="A21" s="4" t="s">
        <v>127</v>
      </c>
      <c r="B21" s="4" t="s">
        <v>136</v>
      </c>
      <c r="C21" s="4" t="s">
        <v>137</v>
      </c>
      <c r="D21" s="4" t="n">
        <v>1</v>
      </c>
      <c r="E21" s="4" t="n">
        <v>0</v>
      </c>
      <c r="F21" s="4" t="n">
        <f aca="false">D21+E21</f>
        <v>1</v>
      </c>
      <c r="G21" s="4" t="s">
        <v>138</v>
      </c>
      <c r="H21" s="4"/>
      <c r="I21" s="5"/>
      <c r="J21" s="12" t="n">
        <f aca="false">F21*I21</f>
        <v>0</v>
      </c>
      <c r="K21" s="13"/>
    </row>
    <row r="22" customFormat="false" ht="29.85" hidden="false" customHeight="false" outlineLevel="0" collapsed="false">
      <c r="A22" s="4" t="s">
        <v>127</v>
      </c>
      <c r="B22" s="4" t="s">
        <v>139</v>
      </c>
      <c r="C22" s="4"/>
      <c r="D22" s="4" t="n">
        <v>1</v>
      </c>
      <c r="E22" s="4" t="n">
        <v>0</v>
      </c>
      <c r="F22" s="4" t="n">
        <f aca="false">D22+E22</f>
        <v>1</v>
      </c>
      <c r="G22" s="4" t="s">
        <v>140</v>
      </c>
      <c r="H22" s="4"/>
      <c r="I22" s="5"/>
      <c r="J22" s="12" t="n">
        <f aca="false">F22*I22</f>
        <v>0</v>
      </c>
      <c r="K22" s="13"/>
    </row>
    <row r="23" customFormat="false" ht="23.85" hidden="false" customHeight="false" outlineLevel="0" collapsed="false">
      <c r="A23" s="4" t="s">
        <v>127</v>
      </c>
      <c r="B23" s="4" t="s">
        <v>141</v>
      </c>
      <c r="C23" s="4"/>
      <c r="D23" s="4" t="n">
        <v>1</v>
      </c>
      <c r="E23" s="4" t="n">
        <v>0</v>
      </c>
      <c r="F23" s="4" t="n">
        <f aca="false">D23+E23</f>
        <v>1</v>
      </c>
      <c r="G23" s="4" t="s">
        <v>142</v>
      </c>
      <c r="H23" s="7" t="s">
        <v>143</v>
      </c>
      <c r="I23" s="5"/>
      <c r="J23" s="12" t="n">
        <f aca="false">F23*I23</f>
        <v>0</v>
      </c>
      <c r="K23" s="13"/>
    </row>
    <row r="24" customFormat="false" ht="23.85" hidden="false" customHeight="false" outlineLevel="0" collapsed="false">
      <c r="A24" s="4" t="s">
        <v>127</v>
      </c>
      <c r="B24" s="4" t="s">
        <v>144</v>
      </c>
      <c r="C24" s="4" t="s">
        <v>145</v>
      </c>
      <c r="D24" s="4" t="n">
        <v>4</v>
      </c>
      <c r="E24" s="4" t="n">
        <v>0</v>
      </c>
      <c r="F24" s="4" t="n">
        <f aca="false">D24+E24</f>
        <v>4</v>
      </c>
      <c r="G24" s="4" t="s">
        <v>146</v>
      </c>
      <c r="H24" s="4" t="s">
        <v>147</v>
      </c>
      <c r="I24" s="5"/>
      <c r="J24" s="12" t="n">
        <f aca="false">F24*I24</f>
        <v>0</v>
      </c>
      <c r="K24" s="13"/>
    </row>
    <row r="25" customFormat="false" ht="29.85" hidden="false" customHeight="false" outlineLevel="0" collapsed="false">
      <c r="A25" s="4" t="s">
        <v>148</v>
      </c>
      <c r="B25" s="4" t="s">
        <v>149</v>
      </c>
      <c r="C25" s="7" t="s">
        <v>150</v>
      </c>
      <c r="D25" s="4" t="n">
        <v>1</v>
      </c>
      <c r="E25" s="4" t="n">
        <v>0</v>
      </c>
      <c r="F25" s="4" t="n">
        <f aca="false">D25+E25</f>
        <v>1</v>
      </c>
      <c r="G25" s="4" t="s">
        <v>151</v>
      </c>
      <c r="H25" s="7" t="s">
        <v>152</v>
      </c>
      <c r="I25" s="5"/>
      <c r="J25" s="12" t="n">
        <f aca="false">F25*I25</f>
        <v>0</v>
      </c>
      <c r="K25" s="13"/>
    </row>
    <row r="26" customFormat="false" ht="15" hidden="false" customHeight="false" outlineLevel="0" collapsed="false">
      <c r="A26" s="4" t="s">
        <v>153</v>
      </c>
      <c r="B26" s="4" t="s">
        <v>154</v>
      </c>
      <c r="C26" s="4" t="s">
        <v>155</v>
      </c>
      <c r="D26" s="4" t="n">
        <v>2</v>
      </c>
      <c r="E26" s="4" t="n">
        <v>1</v>
      </c>
      <c r="F26" s="4" t="n">
        <f aca="false">D26+E26</f>
        <v>3</v>
      </c>
      <c r="G26" s="7" t="s">
        <v>156</v>
      </c>
      <c r="H26" s="7" t="s">
        <v>157</v>
      </c>
      <c r="I26" s="5"/>
      <c r="J26" s="12" t="n">
        <f aca="false">F26*I26</f>
        <v>0</v>
      </c>
      <c r="K26" s="13"/>
    </row>
    <row r="27" customFormat="false" ht="15" hidden="false" customHeight="false" outlineLevel="0" collapsed="false">
      <c r="A27" s="4" t="s">
        <v>148</v>
      </c>
      <c r="B27" s="4" t="s">
        <v>158</v>
      </c>
      <c r="C27" s="4"/>
      <c r="D27" s="4" t="n">
        <v>1</v>
      </c>
      <c r="E27" s="4" t="n">
        <v>2</v>
      </c>
      <c r="F27" s="4" t="n">
        <f aca="false">D27+E27</f>
        <v>3</v>
      </c>
      <c r="G27" s="4" t="s">
        <v>159</v>
      </c>
      <c r="H27" s="7" t="s">
        <v>160</v>
      </c>
      <c r="I27" s="5"/>
      <c r="J27" s="12" t="n">
        <f aca="false">F27*I27</f>
        <v>0</v>
      </c>
      <c r="K27" s="13"/>
    </row>
    <row r="28" customFormat="false" ht="15" hidden="false" customHeight="false" outlineLevel="0" collapsed="false">
      <c r="A28" s="4" t="s">
        <v>148</v>
      </c>
      <c r="B28" s="4" t="s">
        <v>161</v>
      </c>
      <c r="C28" s="4" t="s">
        <v>162</v>
      </c>
      <c r="D28" s="4" t="n">
        <v>4</v>
      </c>
      <c r="E28" s="4" t="n">
        <v>2</v>
      </c>
      <c r="F28" s="4" t="n">
        <f aca="false">D28+E28</f>
        <v>6</v>
      </c>
      <c r="G28" s="4" t="s">
        <v>163</v>
      </c>
      <c r="H28" s="4"/>
      <c r="I28" s="5"/>
      <c r="J28" s="12" t="n">
        <f aca="false">F28*I28</f>
        <v>0</v>
      </c>
      <c r="K28" s="13"/>
    </row>
    <row r="29" customFormat="false" ht="15" hidden="false" customHeight="false" outlineLevel="0" collapsed="false">
      <c r="A29" s="4" t="s">
        <v>148</v>
      </c>
      <c r="B29" s="7" t="s">
        <v>164</v>
      </c>
      <c r="C29" s="4" t="s">
        <v>165</v>
      </c>
      <c r="D29" s="4" t="n">
        <v>3</v>
      </c>
      <c r="E29" s="4" t="n">
        <v>0</v>
      </c>
      <c r="F29" s="4" t="n">
        <f aca="false">D29+E29</f>
        <v>3</v>
      </c>
      <c r="G29" s="7" t="s">
        <v>166</v>
      </c>
      <c r="H29" s="7" t="s">
        <v>167</v>
      </c>
      <c r="I29" s="5"/>
      <c r="J29" s="12" t="n">
        <f aca="false">F29*I29</f>
        <v>0</v>
      </c>
      <c r="K29" s="13"/>
    </row>
    <row r="30" customFormat="false" ht="15" hidden="false" customHeight="false" outlineLevel="0" collapsed="false">
      <c r="A30" s="4" t="s">
        <v>148</v>
      </c>
      <c r="B30" s="7" t="s">
        <v>168</v>
      </c>
      <c r="C30" s="4"/>
      <c r="D30" s="4" t="n">
        <v>1</v>
      </c>
      <c r="E30" s="4" t="n">
        <v>0</v>
      </c>
      <c r="F30" s="4" t="n">
        <f aca="false">D30+E30</f>
        <v>1</v>
      </c>
      <c r="G30" s="4" t="s">
        <v>169</v>
      </c>
      <c r="H30" s="7" t="s">
        <v>167</v>
      </c>
      <c r="I30" s="5"/>
      <c r="J30" s="12" t="n">
        <f aca="false">F30*I30</f>
        <v>0</v>
      </c>
      <c r="K30" s="13"/>
    </row>
    <row r="31" customFormat="false" ht="15" hidden="false" customHeight="false" outlineLevel="0" collapsed="false">
      <c r="A31" s="4" t="s">
        <v>148</v>
      </c>
      <c r="B31" s="4" t="s">
        <v>170</v>
      </c>
      <c r="C31" s="7" t="s">
        <v>171</v>
      </c>
      <c r="D31" s="4" t="n">
        <v>1</v>
      </c>
      <c r="E31" s="4" t="n">
        <v>1</v>
      </c>
      <c r="F31" s="4" t="n">
        <f aca="false">D31+E31</f>
        <v>2</v>
      </c>
      <c r="G31" s="4" t="s">
        <v>172</v>
      </c>
      <c r="H31" s="4"/>
      <c r="I31" s="5"/>
      <c r="J31" s="12" t="n">
        <f aca="false">F31*I31</f>
        <v>0</v>
      </c>
      <c r="K31" s="13"/>
    </row>
    <row r="32" customFormat="false" ht="26.85" hidden="false" customHeight="false" outlineLevel="0" collapsed="false">
      <c r="A32" s="4" t="s">
        <v>148</v>
      </c>
      <c r="B32" s="4" t="s">
        <v>173</v>
      </c>
      <c r="C32" s="7" t="s">
        <v>174</v>
      </c>
      <c r="D32" s="4" t="n">
        <v>0</v>
      </c>
      <c r="E32" s="4" t="n">
        <v>0</v>
      </c>
      <c r="F32" s="4" t="n">
        <f aca="false">D32+E32</f>
        <v>0</v>
      </c>
      <c r="G32" s="4" t="s">
        <v>175</v>
      </c>
      <c r="H32" s="4" t="s">
        <v>176</v>
      </c>
      <c r="I32" s="5"/>
      <c r="J32" s="12" t="n">
        <f aca="false">F32*I32</f>
        <v>0</v>
      </c>
      <c r="K32" s="13"/>
    </row>
    <row r="33" customFormat="false" ht="15" hidden="false" customHeight="false" outlineLevel="0" collapsed="false">
      <c r="A33" s="4" t="s">
        <v>148</v>
      </c>
      <c r="B33" s="7" t="s">
        <v>177</v>
      </c>
      <c r="C33" s="4"/>
      <c r="D33" s="4" t="n">
        <v>4</v>
      </c>
      <c r="E33" s="4" t="n">
        <v>4</v>
      </c>
      <c r="F33" s="4" t="n">
        <f aca="false">D33+E33</f>
        <v>8</v>
      </c>
      <c r="G33" s="4" t="s">
        <v>178</v>
      </c>
      <c r="H33" s="4"/>
      <c r="I33" s="5"/>
      <c r="J33" s="12" t="n">
        <f aca="false">F33*I33</f>
        <v>0</v>
      </c>
      <c r="K33" s="13"/>
    </row>
    <row r="34" customFormat="false" ht="15" hidden="false" customHeight="false" outlineLevel="0" collapsed="false">
      <c r="A34" s="4" t="s">
        <v>179</v>
      </c>
      <c r="B34" s="4" t="s">
        <v>180</v>
      </c>
      <c r="C34" s="4"/>
      <c r="D34" s="4" t="n">
        <v>2</v>
      </c>
      <c r="E34" s="4" t="n">
        <v>0</v>
      </c>
      <c r="F34" s="4" t="n">
        <f aca="false">D34+E34</f>
        <v>2</v>
      </c>
      <c r="G34" s="7" t="s">
        <v>181</v>
      </c>
      <c r="H34" s="7" t="s">
        <v>182</v>
      </c>
      <c r="I34" s="5"/>
      <c r="J34" s="12" t="n">
        <f aca="false">F34*I34</f>
        <v>0</v>
      </c>
      <c r="K34" s="13"/>
    </row>
    <row r="35" customFormat="false" ht="15" hidden="false" customHeight="false" outlineLevel="0" collapsed="false">
      <c r="A35" s="4" t="s">
        <v>179</v>
      </c>
      <c r="B35" s="4" t="s">
        <v>183</v>
      </c>
      <c r="C35" s="4"/>
      <c r="D35" s="4" t="n">
        <v>1</v>
      </c>
      <c r="E35" s="4" t="n">
        <v>0</v>
      </c>
      <c r="F35" s="4" t="n">
        <f aca="false">D35+E35</f>
        <v>1</v>
      </c>
      <c r="G35" s="4" t="s">
        <v>102</v>
      </c>
      <c r="H35" s="4"/>
      <c r="I35" s="5"/>
      <c r="J35" s="12" t="n">
        <f aca="false">F35*I35</f>
        <v>0</v>
      </c>
      <c r="K35" s="13"/>
    </row>
    <row r="36" customFormat="false" ht="15" hidden="false" customHeight="false" outlineLevel="0" collapsed="false">
      <c r="A36" s="4" t="s">
        <v>179</v>
      </c>
      <c r="B36" s="7" t="s">
        <v>184</v>
      </c>
      <c r="C36" s="4"/>
      <c r="D36" s="4" t="n">
        <v>2</v>
      </c>
      <c r="E36" s="4" t="n">
        <v>1</v>
      </c>
      <c r="F36" s="4" t="n">
        <f aca="false">D36+E36</f>
        <v>3</v>
      </c>
      <c r="G36" s="4" t="s">
        <v>185</v>
      </c>
      <c r="H36" s="4"/>
      <c r="I36" s="5"/>
      <c r="J36" s="12" t="n">
        <f aca="false">F36*I36</f>
        <v>0</v>
      </c>
      <c r="K36" s="13"/>
    </row>
    <row r="37" customFormat="false" ht="15" hidden="false" customHeight="false" outlineLevel="0" collapsed="false">
      <c r="A37" s="4" t="s">
        <v>179</v>
      </c>
      <c r="B37" s="7" t="s">
        <v>186</v>
      </c>
      <c r="C37" s="4"/>
      <c r="D37" s="4" t="n">
        <v>20</v>
      </c>
      <c r="E37" s="4" t="n">
        <v>0</v>
      </c>
      <c r="F37" s="4" t="n">
        <f aca="false">D37+E37</f>
        <v>20</v>
      </c>
      <c r="G37" s="7" t="s">
        <v>187</v>
      </c>
      <c r="H37" s="4"/>
      <c r="I37" s="5"/>
      <c r="J37" s="12" t="n">
        <f aca="false">F37*I37</f>
        <v>0</v>
      </c>
      <c r="K37" s="13"/>
    </row>
    <row r="38" customFormat="false" ht="15" hidden="false" customHeight="false" outlineLevel="0" collapsed="false">
      <c r="A38" s="4" t="s">
        <v>179</v>
      </c>
      <c r="B38" s="7" t="s">
        <v>188</v>
      </c>
      <c r="C38" s="4"/>
      <c r="D38" s="4" t="n">
        <v>1</v>
      </c>
      <c r="E38" s="4" t="n">
        <v>0</v>
      </c>
      <c r="F38" s="4" t="n">
        <f aca="false">D38+E38</f>
        <v>1</v>
      </c>
      <c r="G38" s="4"/>
      <c r="H38" s="4"/>
      <c r="I38" s="5"/>
      <c r="J38" s="12" t="n">
        <f aca="false">F38*I38</f>
        <v>0</v>
      </c>
      <c r="K38" s="13"/>
    </row>
    <row r="39" customFormat="false" ht="15" hidden="false" customHeight="false" outlineLevel="0" collapsed="false">
      <c r="A39" s="4" t="s">
        <v>189</v>
      </c>
      <c r="B39" s="4" t="s">
        <v>190</v>
      </c>
      <c r="C39" s="4"/>
      <c r="D39" s="4" t="n">
        <v>4</v>
      </c>
      <c r="E39" s="4" t="n">
        <v>0</v>
      </c>
      <c r="F39" s="4" t="n">
        <f aca="false">D39+E39</f>
        <v>4</v>
      </c>
      <c r="G39" s="4" t="s">
        <v>191</v>
      </c>
      <c r="H39" s="7" t="s">
        <v>192</v>
      </c>
      <c r="I39" s="5"/>
      <c r="J39" s="12" t="n">
        <f aca="false">F39*I39</f>
        <v>0</v>
      </c>
      <c r="K39" s="13"/>
    </row>
    <row r="40" customFormat="false" ht="15" hidden="false" customHeight="false" outlineLevel="0" collapsed="false">
      <c r="B40" s="8" t="s">
        <v>65</v>
      </c>
      <c r="J40" s="10" t="n">
        <f aca="false">SUM(J4:J39)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193</v>
      </c>
      <c r="B1" s="3" t="s">
        <v>194</v>
      </c>
      <c r="C1" s="2" t="s">
        <v>195</v>
      </c>
      <c r="D1" s="2" t="s">
        <v>196</v>
      </c>
      <c r="E1" s="2" t="s">
        <v>197</v>
      </c>
      <c r="F1" s="2" t="s">
        <v>198</v>
      </c>
    </row>
    <row r="2" customFormat="false" ht="15" hidden="false" customHeight="false" outlineLevel="0" collapsed="false">
      <c r="A2" s="4" t="n">
        <v>1</v>
      </c>
      <c r="B2" s="4" t="s">
        <v>199</v>
      </c>
      <c r="C2" s="7" t="s">
        <v>200</v>
      </c>
      <c r="D2" s="7" t="s">
        <v>201</v>
      </c>
      <c r="E2" s="7" t="s">
        <v>202</v>
      </c>
      <c r="F2" s="4"/>
    </row>
    <row r="3" customFormat="false" ht="15" hidden="false" customHeight="false" outlineLevel="0" collapsed="false">
      <c r="A3" s="4" t="n">
        <v>2</v>
      </c>
      <c r="B3" s="7" t="s">
        <v>203</v>
      </c>
      <c r="C3" s="7" t="s">
        <v>204</v>
      </c>
      <c r="D3" s="4" t="s">
        <v>205</v>
      </c>
      <c r="E3" s="4" t="s">
        <v>206</v>
      </c>
      <c r="F3" s="4"/>
    </row>
    <row r="4" customFormat="false" ht="15" hidden="false" customHeight="false" outlineLevel="0" collapsed="false">
      <c r="A4" s="4" t="n">
        <v>3</v>
      </c>
      <c r="B4" s="4" t="s">
        <v>207</v>
      </c>
      <c r="C4" s="7" t="s">
        <v>208</v>
      </c>
      <c r="D4" s="4" t="s">
        <v>209</v>
      </c>
      <c r="E4" s="4" t="s">
        <v>206</v>
      </c>
      <c r="F4" s="4"/>
    </row>
    <row r="5" customFormat="false" ht="15" hidden="false" customHeight="false" outlineLevel="0" collapsed="false">
      <c r="A5" s="4" t="n">
        <v>4</v>
      </c>
      <c r="B5" s="4" t="s">
        <v>210</v>
      </c>
      <c r="C5" s="7" t="s">
        <v>211</v>
      </c>
      <c r="D5" s="4" t="s">
        <v>212</v>
      </c>
      <c r="E5" s="4" t="s">
        <v>206</v>
      </c>
      <c r="F5" s="4"/>
    </row>
    <row r="6" customFormat="false" ht="29.85" hidden="false" customHeight="false" outlineLevel="0" collapsed="false">
      <c r="A6" s="4" t="n">
        <v>5</v>
      </c>
      <c r="B6" s="4" t="s">
        <v>213</v>
      </c>
      <c r="C6" s="4" t="s">
        <v>214</v>
      </c>
      <c r="D6" s="7" t="s">
        <v>215</v>
      </c>
      <c r="E6" s="4" t="s">
        <v>206</v>
      </c>
      <c r="F6" s="4"/>
    </row>
    <row r="7" customFormat="false" ht="15" hidden="false" customHeight="false" outlineLevel="0" collapsed="false">
      <c r="A7" s="4" t="n">
        <v>6</v>
      </c>
      <c r="B7" s="7" t="s">
        <v>216</v>
      </c>
      <c r="C7" s="4" t="s">
        <v>217</v>
      </c>
      <c r="D7" s="7" t="s">
        <v>218</v>
      </c>
      <c r="E7" s="4" t="s">
        <v>206</v>
      </c>
      <c r="F7" s="4"/>
    </row>
    <row r="8" customFormat="false" ht="15" hidden="false" customHeight="false" outlineLevel="0" collapsed="false">
      <c r="A8" s="4" t="n">
        <v>7</v>
      </c>
      <c r="B8" s="4" t="s">
        <v>219</v>
      </c>
      <c r="C8" s="7" t="s">
        <v>220</v>
      </c>
      <c r="D8" s="7" t="s">
        <v>201</v>
      </c>
      <c r="E8" s="4" t="s">
        <v>206</v>
      </c>
      <c r="F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4" t="s">
        <v>221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5" t="s">
        <v>222</v>
      </c>
    </row>
    <row r="4" customFormat="false" ht="15" hidden="false" customHeight="false" outlineLevel="0" collapsed="false">
      <c r="A4" s="15" t="s">
        <v>223</v>
      </c>
    </row>
    <row r="5" customFormat="false" ht="15" hidden="false" customHeight="false" outlineLevel="0" collapsed="false">
      <c r="A5" s="15" t="s">
        <v>224</v>
      </c>
    </row>
    <row r="6" customFormat="false" ht="15" hidden="false" customHeight="false" outlineLevel="0" collapsed="false">
      <c r="A6" s="15" t="s">
        <v>225</v>
      </c>
    </row>
    <row r="7" customFormat="false" ht="15" hidden="false" customHeight="false" outlineLevel="0" collapsed="false">
      <c r="A7" s="15" t="s">
        <v>226</v>
      </c>
    </row>
    <row r="8" customFormat="false" ht="15" hidden="false" customHeight="false" outlineLevel="0" collapsed="false">
      <c r="A8" s="15" t="s">
        <v>227</v>
      </c>
    </row>
    <row r="9" customFormat="false" ht="15" hidden="false" customHeight="false" outlineLevel="0" collapsed="false">
      <c r="A9" s="15" t="s">
        <v>228</v>
      </c>
    </row>
    <row r="10" customFormat="false" ht="15" hidden="false" customHeight="false" outlineLevel="0" collapsed="false">
      <c r="A10" s="15" t="s">
        <v>229</v>
      </c>
    </row>
    <row r="11" customFormat="false" ht="15" hidden="false" customHeight="false" outlineLevel="0" collapsed="false">
      <c r="A11" s="15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2026-10-01T08:14:06Z</dcterms:created>
  <dc:creator>openpyxl</dc:creator>
  <dc:description/>
  <dc:language>en-US</dc:language>
  <cp:lastModifiedBy/>
  <dcterms:modified xsi:type="dcterms:W3CDTF">2026-10-01T08:14:06Z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