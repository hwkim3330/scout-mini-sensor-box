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B_PARTS" sheetId="1" state="visible" r:id="rId1"/>
    <sheet name="PURCHASED" sheetId="2" state="visible" r:id="rId2"/>
    <sheet name="HOLD" sheetId="3" state="visible" r:id="rId3"/>
    <sheet name="RFQ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9.5"/>
    </font>
    <font>
      <name val="Arial"/>
      <b val="1"/>
    </font>
    <font>
      <name val="Arial"/>
      <i val="1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3" fontId="3" fillId="3" borderId="1" applyAlignment="1" pivotButton="0" quotePrefix="0" xfId="0">
      <alignment vertical="top" wrapText="1"/>
    </xf>
    <xf numFmtId="3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3" customWidth="1" min="3" max="3"/>
    <col width="9" customWidth="1" min="4" max="4"/>
    <col width="7" customWidth="1" min="5" max="5"/>
    <col width="26" customWidth="1" min="6" max="6"/>
    <col width="34" customWidth="1" min="7" max="7"/>
    <col width="26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노란 칸 = 제작사 견적 입력. 질량 = 3D 모델 체적 × 2.68 g/cm³. 금액 = 수량 × 단가 (자동).</t>
        </is>
      </c>
    </row>
    <row r="3">
      <c r="A3" s="2" t="inlineStr">
        <is>
          <t>품번</t>
        </is>
      </c>
      <c r="B3" s="2" t="inlineStr">
        <is>
          <t>품명</t>
        </is>
      </c>
      <c r="C3" s="2" t="inlineStr">
        <is>
          <t>재질</t>
        </is>
      </c>
      <c r="D3" s="2" t="inlineStr">
        <is>
          <t>두께 t(mm)</t>
        </is>
      </c>
      <c r="E3" s="2" t="inlineStr">
        <is>
          <t>수량</t>
        </is>
      </c>
      <c r="F3" s="2" t="inlineStr">
        <is>
          <t>공정</t>
        </is>
      </c>
      <c r="G3" s="2" t="inlineStr">
        <is>
          <t>PEM / 후가공</t>
        </is>
      </c>
      <c r="H3" s="2" t="inlineStr">
        <is>
          <t>DXF</t>
        </is>
      </c>
      <c r="I3" s="2" t="inlineStr">
        <is>
          <t>단품 질량(g, 계산)</t>
        </is>
      </c>
      <c r="J3" s="2" t="inlineStr">
        <is>
          <t>단가 A 무처리(원)</t>
        </is>
      </c>
      <c r="K3" s="2" t="inlineStr">
        <is>
          <t>단가 B 분체도장(원)</t>
        </is>
      </c>
      <c r="L3" s="2" t="inlineStr">
        <is>
          <t>금액 A</t>
        </is>
      </c>
      <c r="M3" s="2" t="inlineStr">
        <is>
          <t>금액 B</t>
        </is>
      </c>
    </row>
    <row r="4">
      <c r="A4" s="3" t="inlineStr">
        <is>
          <t>P01</t>
        </is>
      </c>
      <c r="B4" s="3" t="inlineStr">
        <is>
          <t>BOTTOM PLATE</t>
        </is>
      </c>
      <c r="C4" s="3" t="inlineStr">
        <is>
          <t>AL5052-H32</t>
        </is>
      </c>
      <c r="D4" s="3" t="n">
        <v>3</v>
      </c>
      <c r="E4" s="3" t="n">
        <v>1</v>
      </c>
      <c r="F4" s="3" t="inlineStr">
        <is>
          <t>Laser</t>
        </is>
      </c>
      <c r="G4" s="3" t="inlineStr">
        <is>
          <t>CLSS-M4-2 ×10 (트레이 4 + 전장판 6), CSK ×12</t>
        </is>
      </c>
      <c r="H4" s="3" t="inlineStr">
        <is>
          <t>P01_BOTTOM_PLATE.dxf</t>
        </is>
      </c>
      <c r="I4" s="3" t="n">
        <v>671</v>
      </c>
      <c r="J4" s="4" t="n"/>
      <c r="K4" s="4" t="n"/>
      <c r="L4" s="5">
        <f>E4*J4</f>
        <v/>
      </c>
      <c r="M4" s="5">
        <f>E4*K4</f>
        <v/>
      </c>
    </row>
    <row r="5">
      <c r="A5" s="3" t="inlineStr">
        <is>
          <t>P02</t>
        </is>
      </c>
      <c r="B5" s="3" t="inlineStr">
        <is>
          <t>WALL HALF – FRONT (C1/C2/C3)</t>
        </is>
      </c>
      <c r="C5" s="3" t="inlineStr">
        <is>
          <t>AL5052-H32</t>
        </is>
      </c>
      <c r="D5" s="3" t="n">
        <v>2</v>
      </c>
      <c r="E5" s="3" t="n">
        <v>1</v>
      </c>
      <c r="F5" s="3" t="inlineStr">
        <is>
          <t>Laser + Bend (2×60°, 2×90°)</t>
        </is>
      </c>
      <c r="G5" s="3" t="inlineStr">
        <is>
          <t>CLSS-M3-1 ×18, CLSS-M4-1 ×6</t>
        </is>
      </c>
      <c r="H5" s="3" t="inlineStr">
        <is>
          <t>P02_WALL_HALF_FRONT.dxf</t>
        </is>
      </c>
      <c r="I5" s="3" t="n">
        <v>394</v>
      </c>
      <c r="J5" s="4" t="n"/>
      <c r="K5" s="4" t="n"/>
      <c r="L5" s="5">
        <f>E5*J5</f>
        <v/>
      </c>
      <c r="M5" s="5">
        <f>E5*K5</f>
        <v/>
      </c>
    </row>
    <row r="6">
      <c r="A6" s="3" t="inlineStr">
        <is>
          <t>P03</t>
        </is>
      </c>
      <c r="B6" s="3" t="inlineStr">
        <is>
          <t>WALL HALF – REAR (C4/C5/C6)</t>
        </is>
      </c>
      <c r="C6" s="3" t="inlineStr">
        <is>
          <t>AL5052-H32</t>
        </is>
      </c>
      <c r="D6" s="3" t="n">
        <v>2</v>
      </c>
      <c r="E6" s="3" t="n">
        <v>1</v>
      </c>
      <c r="F6" s="3" t="inlineStr">
        <is>
          <t>Laser + Bend (2×60°, 2×90°)</t>
        </is>
      </c>
      <c r="G6" s="3" t="inlineStr">
        <is>
          <t>CLSS-M3-1 ×22, CLSS-M4-1 ×6</t>
        </is>
      </c>
      <c r="H6" s="3" t="inlineStr">
        <is>
          <t>P03_WALL_HALF_REAR.dxf</t>
        </is>
      </c>
      <c r="I6" s="3" t="n">
        <v>371</v>
      </c>
      <c r="J6" s="4" t="n"/>
      <c r="K6" s="4" t="n"/>
      <c r="L6" s="5">
        <f>E6*J6</f>
        <v/>
      </c>
      <c r="M6" s="5">
        <f>E6*K6</f>
        <v/>
      </c>
    </row>
    <row r="7">
      <c r="A7" s="3" t="inlineStr">
        <is>
          <t>P04</t>
        </is>
      </c>
      <c r="B7" s="3" t="inlineStr">
        <is>
          <t>TOP COVER</t>
        </is>
      </c>
      <c r="C7" s="3" t="inlineStr">
        <is>
          <t>AL5052-H32</t>
        </is>
      </c>
      <c r="D7" s="3" t="n">
        <v>2</v>
      </c>
      <c r="E7" s="3" t="n">
        <v>1</v>
      </c>
      <c r="F7" s="3" t="inlineStr">
        <is>
          <t>Laser</t>
        </is>
      </c>
      <c r="G7" s="3" t="inlineStr">
        <is>
          <t>— (Ø5.5 ×4). 도장 시 P11 접촉부 140×140 MASK</t>
        </is>
      </c>
      <c r="H7" s="3" t="inlineStr">
        <is>
          <t>P04_TOP_COVER.dxf</t>
        </is>
      </c>
      <c r="I7" s="3" t="n">
        <v>411</v>
      </c>
      <c r="J7" s="4" t="n"/>
      <c r="K7" s="4" t="n"/>
      <c r="L7" s="5">
        <f>E7*J7</f>
        <v/>
      </c>
      <c r="M7" s="5">
        <f>E7*K7</f>
        <v/>
      </c>
    </row>
    <row r="8">
      <c r="A8" s="3" t="inlineStr">
        <is>
          <t>P05</t>
        </is>
      </c>
      <c r="B8" s="3" t="inlineStr">
        <is>
          <t>OS1 MOUNT PLATE</t>
        </is>
      </c>
      <c r="C8" s="3" t="inlineStr">
        <is>
          <t>AL6061-T6</t>
        </is>
      </c>
      <c r="D8" s="3" t="n">
        <v>5</v>
      </c>
      <c r="E8" s="3" t="n">
        <v>1</v>
      </c>
      <c r="F8" s="3" t="inlineStr">
        <is>
          <t>Laser / CNC + Tap</t>
        </is>
      </c>
      <c r="G8" s="3" t="inlineStr">
        <is>
          <t>M5 TAP ×4 (B). OS1 접촉면 Ø100 + 하면 BARE MASK. OS1 홀 HOLD</t>
        </is>
      </c>
      <c r="H8" s="3" t="inlineStr">
        <is>
          <t>P05_OS1_PLATE.dxf</t>
        </is>
      </c>
      <c r="I8" s="3" t="n">
        <v>261</v>
      </c>
      <c r="J8" s="4" t="n"/>
      <c r="K8" s="4" t="n"/>
      <c r="L8" s="5">
        <f>E8*J8</f>
        <v/>
      </c>
      <c r="M8" s="5">
        <f>E8*K8</f>
        <v/>
      </c>
    </row>
    <row r="9">
      <c r="A9" s="3" t="inlineStr">
        <is>
          <t>P06</t>
        </is>
      </c>
      <c r="B9" s="3" t="inlineStr">
        <is>
          <t>CAMERA ADAPTER PLATE</t>
        </is>
      </c>
      <c r="C9" s="3" t="inlineStr">
        <is>
          <t>AL5052-H32</t>
        </is>
      </c>
      <c r="D9" s="3" t="n">
        <v>2</v>
      </c>
      <c r="E9" s="3" t="n">
        <v>8</v>
      </c>
      <c r="F9" s="3" t="inlineStr">
        <is>
          <t>Laser</t>
        </is>
      </c>
      <c r="G9" s="3" t="inlineStr">
        <is>
          <t>— (lens/holder HOLD, KETI)</t>
        </is>
      </c>
      <c r="H9" s="3" t="inlineStr">
        <is>
          <t>P06_CAMERA_PLATE.dxf</t>
        </is>
      </c>
      <c r="I9" s="3" t="n">
        <v>17</v>
      </c>
      <c r="J9" s="4" t="n"/>
      <c r="K9" s="4" t="n"/>
      <c r="L9" s="5">
        <f>E9*J9</f>
        <v/>
      </c>
      <c r="M9" s="5">
        <f>E9*K9</f>
        <v/>
      </c>
    </row>
    <row r="10">
      <c r="A10" s="3" t="inlineStr">
        <is>
          <t>P07</t>
        </is>
      </c>
      <c r="B10" s="3" t="inlineStr">
        <is>
          <t>REAR SERVICE PANEL</t>
        </is>
      </c>
      <c r="C10" s="3" t="inlineStr">
        <is>
          <t>AL5052-H32</t>
        </is>
      </c>
      <c r="D10" s="3" t="n">
        <v>2</v>
      </c>
      <c r="E10" s="3" t="n">
        <v>1</v>
      </c>
      <c r="F10" s="3" t="inlineStr">
        <is>
          <t>Laser</t>
        </is>
      </c>
      <c r="G10" s="3" t="inlineStr">
        <is>
          <t>—</t>
        </is>
      </c>
      <c r="H10" s="3" t="inlineStr">
        <is>
          <t>P07_SERVICE_PANEL.dxf</t>
        </is>
      </c>
      <c r="I10" s="3" t="n">
        <v>34</v>
      </c>
      <c r="J10" s="4" t="n"/>
      <c r="K10" s="4" t="n"/>
      <c r="L10" s="5">
        <f>E10*J10</f>
        <v/>
      </c>
      <c r="M10" s="5">
        <f>E10*K10</f>
        <v/>
      </c>
    </row>
    <row r="11">
      <c r="A11" s="3" t="inlineStr">
        <is>
          <t>P08</t>
        </is>
      </c>
      <c r="B11" s="3" t="inlineStr">
        <is>
          <t>AGX TRAY</t>
        </is>
      </c>
      <c r="C11" s="3" t="inlineStr">
        <is>
          <t>AL5052-H32</t>
        </is>
      </c>
      <c r="D11" s="3" t="n">
        <v>2</v>
      </c>
      <c r="E11" s="3" t="n">
        <v>1</v>
      </c>
      <c r="F11" s="3" t="inlineStr">
        <is>
          <t>Laser + Bend (4×90°)</t>
        </is>
      </c>
      <c r="G11" s="3" t="inlineStr">
        <is>
          <t>CSK ×4. 70×70 = ADAPTER/CABLE CLEARANCE (HOLD 5, 그대로 가공)</t>
        </is>
      </c>
      <c r="H11" s="3" t="inlineStr">
        <is>
          <t>P08_AGX_TRAY.dxf</t>
        </is>
      </c>
      <c r="I11" s="3" t="n">
        <v>68</v>
      </c>
      <c r="J11" s="4" t="n"/>
      <c r="K11" s="4" t="n"/>
      <c r="L11" s="5">
        <f>E11*J11</f>
        <v/>
      </c>
      <c r="M11" s="5">
        <f>E11*K11</f>
        <v/>
      </c>
    </row>
    <row r="12">
      <c r="A12" s="3" t="inlineStr">
        <is>
          <t>P09</t>
        </is>
      </c>
      <c r="B12" s="3" t="inlineStr">
        <is>
          <t>WALL SPLICE BRACKET</t>
        </is>
      </c>
      <c r="C12" s="3" t="inlineStr">
        <is>
          <t>AL5052-H32</t>
        </is>
      </c>
      <c r="D12" s="3" t="n">
        <v>2</v>
      </c>
      <c r="E12" s="3" t="n">
        <v>2</v>
      </c>
      <c r="F12" s="3" t="inlineStr">
        <is>
          <t>Laser + Bend (1×60°)</t>
        </is>
      </c>
      <c r="G12" s="3" t="inlineStr">
        <is>
          <t>—</t>
        </is>
      </c>
      <c r="H12" s="3" t="inlineStr">
        <is>
          <t>P09_SPLICE_BRACKET.dxf</t>
        </is>
      </c>
      <c r="I12" s="3" t="n">
        <v>23</v>
      </c>
      <c r="J12" s="4" t="n"/>
      <c r="K12" s="4" t="n"/>
      <c r="L12" s="5">
        <f>E12*J12</f>
        <v/>
      </c>
      <c r="M12" s="5">
        <f>E12*K12</f>
        <v/>
      </c>
    </row>
    <row r="13">
      <c r="A13" s="3" t="inlineStr">
        <is>
          <t>P10</t>
        </is>
      </c>
      <c r="B13" s="3" t="inlineStr">
        <is>
          <t>ELECTRICAL PLATE (탈착식)</t>
        </is>
      </c>
      <c r="C13" s="3" t="inlineStr">
        <is>
          <t>AL5052-H32</t>
        </is>
      </c>
      <c r="D13" s="3" t="n">
        <v>2</v>
      </c>
      <c r="E13" s="3" t="n">
        <v>1</v>
      </c>
      <c r="F13" s="3" t="inlineStr">
        <is>
          <t>Laser</t>
        </is>
      </c>
      <c r="G13" s="3" t="inlineStr">
        <is>
          <t>— (Ø3.4 그리드, PEM 없음)</t>
        </is>
      </c>
      <c r="H13" s="3" t="inlineStr">
        <is>
          <t>P10_ELEC_PLATE.dxf</t>
        </is>
      </c>
      <c r="I13" s="3" t="n">
        <v>156</v>
      </c>
      <c r="J13" s="4" t="n"/>
      <c r="K13" s="4" t="n"/>
      <c r="L13" s="5">
        <f>E13*J13</f>
        <v/>
      </c>
      <c r="M13" s="5">
        <f>E13*K13</f>
        <v/>
      </c>
    </row>
    <row r="14">
      <c r="A14" s="3" t="inlineStr">
        <is>
          <t>P11</t>
        </is>
      </c>
      <c r="B14" s="3" t="inlineStr">
        <is>
          <t>OS1 RISER FRAME</t>
        </is>
      </c>
      <c r="C14" s="3" t="inlineStr">
        <is>
          <t>AL6061-T6</t>
        </is>
      </c>
      <c r="D14" s="3" t="n">
        <v>25</v>
      </c>
      <c r="E14" s="3" t="n">
        <v>1</v>
      </c>
      <c r="F14" s="3" t="inlineStr">
        <is>
          <t>CNC + Tap (M5 ×8, 10DP)</t>
        </is>
      </c>
      <c r="G14" s="3" t="inlineStr">
        <is>
          <t>무처리 BARE (도장/아노다이징 금지), 평면도 0.05</t>
        </is>
      </c>
      <c r="H14" s="3" t="inlineStr">
        <is>
          <t>P11_OS1_RISER.dxf (외형 참고) + 도면 SHEET 8</t>
        </is>
      </c>
      <c r="I14" s="3" t="n">
        <v>532</v>
      </c>
      <c r="J14" s="4" t="n"/>
      <c r="K14" s="4" t="n"/>
      <c r="L14" s="5">
        <f>E14*J14</f>
        <v/>
      </c>
      <c r="M14" s="5">
        <f>E14*K14</f>
        <v/>
      </c>
    </row>
    <row r="15">
      <c r="B15" s="6" t="inlineStr">
        <is>
          <t>합계</t>
        </is>
      </c>
      <c r="G15" s="7" t="inlineStr">
        <is>
          <t>PEM 총계 = 10 + 24 + 28 = 62 ea (REV8 114)</t>
        </is>
      </c>
      <c r="I15" s="8">
        <f>SUMPRODUCT(E4:E14,I4:I14)</f>
        <v/>
      </c>
      <c r="L15" s="8">
        <f>SUM(L4:L14)</f>
        <v/>
      </c>
      <c r="M15" s="8">
        <f>SUM(M4:M14)</f>
        <v/>
      </c>
    </row>
    <row r="17">
      <c r="A17" s="7" t="inlineStr">
        <is>
          <t>표면처리 [A] 무처리 / [B] 흑색 분체도장 — 열접촉면 BARE 마스킹: P05 상면 Ø100 + 하면, P11 전체 무처리, P04 상면 140×140. 공차·검사: 도면 SHEET 1,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30" customWidth="1" min="3" max="3"/>
    <col width="9" customWidth="1" min="4" max="4"/>
    <col width="7" customWidth="1" min="5" max="5"/>
    <col width="9" customWidth="1" min="6" max="6"/>
    <col width="26" customWidth="1" min="7" max="7"/>
    <col width="32" customWidth="1" min="8" max="8"/>
    <col width="11" customWidth="1" min="9" max="9"/>
    <col width="12" customWidth="1" min="10" max="10"/>
    <col width="16" customWidth="1" min="11" max="11"/>
  </cols>
  <sheetData>
    <row r="1">
      <c r="A1" s="1" t="inlineStr">
        <is>
          <t>노란 칸 = 입력. 주문 수량 = 필요 + 예비 (자동). 구매처 예: 미스미코리아 / 나사몰 / 디바이스마트 / 엘레파츠.</t>
        </is>
      </c>
    </row>
    <row r="3">
      <c r="A3" s="2" t="inlineStr">
        <is>
          <t>구분</t>
        </is>
      </c>
      <c r="B3" s="2" t="inlineStr">
        <is>
          <t>품목</t>
        </is>
      </c>
      <c r="C3" s="2" t="inlineStr">
        <is>
          <t>규격/재질</t>
        </is>
      </c>
      <c r="D3" s="2" t="inlineStr">
        <is>
          <t>필요 수량</t>
        </is>
      </c>
      <c r="E3" s="2" t="inlineStr">
        <is>
          <t>예비</t>
        </is>
      </c>
      <c r="F3" s="2" t="inlineStr">
        <is>
          <t>주문 수량</t>
        </is>
      </c>
      <c r="G3" s="2" t="inlineStr">
        <is>
          <t>사용처</t>
        </is>
      </c>
      <c r="H3" s="2" t="inlineStr">
        <is>
          <t>비고</t>
        </is>
      </c>
      <c r="I3" s="2" t="inlineStr">
        <is>
          <t>단가(원)</t>
        </is>
      </c>
      <c r="J3" s="2" t="inlineStr">
        <is>
          <t>금액(원)</t>
        </is>
      </c>
      <c r="K3" s="2" t="inlineStr">
        <is>
          <t>구매처</t>
        </is>
      </c>
    </row>
    <row r="4">
      <c r="A4" s="3" t="inlineStr">
        <is>
          <t>FASTENER</t>
        </is>
      </c>
      <c r="B4" s="3" t="inlineStr">
        <is>
          <t>M3×8 버튼헤드 (ISO 7380)</t>
        </is>
      </c>
      <c r="C4" s="3" t="inlineStr">
        <is>
          <t>SUS304 A2</t>
        </is>
      </c>
      <c r="D4" s="3" t="n">
        <v>40</v>
      </c>
      <c r="E4" s="3" t="n">
        <v>10</v>
      </c>
      <c r="F4" s="3">
        <f>D4+E4</f>
        <v/>
      </c>
      <c r="G4" s="3" t="inlineStr">
        <is>
          <t>커버 12, 카메라 24, 서비스 4</t>
        </is>
      </c>
      <c r="H4" s="3" t="inlineStr"/>
      <c r="I4" s="4" t="n"/>
      <c r="J4" s="9">
        <f>F4*I4</f>
        <v/>
      </c>
      <c r="K4" s="10" t="n"/>
    </row>
    <row r="5">
      <c r="A5" s="3" t="inlineStr">
        <is>
          <t>FASTENER</t>
        </is>
      </c>
      <c r="B5" s="3" t="inlineStr">
        <is>
          <t>M4×8 접시머리 육각홈 (ISO 10642)</t>
        </is>
      </c>
      <c r="C5" s="3" t="inlineStr">
        <is>
          <t>SUS304 A2</t>
        </is>
      </c>
      <c r="D5" s="3" t="n">
        <v>16</v>
      </c>
      <c r="E5" s="3" t="n">
        <v>4</v>
      </c>
      <c r="F5" s="3">
        <f>D5+E5</f>
        <v/>
      </c>
      <c r="G5" s="3" t="inlineStr">
        <is>
          <t>하판 12, 트레이 4</t>
        </is>
      </c>
      <c r="H5" s="3" t="inlineStr"/>
      <c r="I5" s="4" t="n"/>
      <c r="J5" s="9">
        <f>F5*I5</f>
        <v/>
      </c>
      <c r="K5" s="10" t="n"/>
    </row>
    <row r="6">
      <c r="A6" s="3" t="inlineStr">
        <is>
          <t>FASTENER</t>
        </is>
      </c>
      <c r="B6" s="3" t="inlineStr">
        <is>
          <t>M5×12 육각홈 (ISO 4762) + 평와셔 M5</t>
        </is>
      </c>
      <c r="C6" s="3" t="inlineStr">
        <is>
          <t>SUS304 A2</t>
        </is>
      </c>
      <c r="D6" s="3" t="n">
        <v>4</v>
      </c>
      <c r="E6" s="3" t="n">
        <v>2</v>
      </c>
      <c r="F6" s="3">
        <f>D6+E6</f>
        <v/>
      </c>
      <c r="G6" s="3" t="inlineStr">
        <is>
          <t>P05 → P11 탭 A</t>
        </is>
      </c>
      <c r="H6" s="3" t="inlineStr"/>
      <c r="I6" s="4" t="n"/>
      <c r="J6" s="9">
        <f>F6*I6</f>
        <v/>
      </c>
      <c r="K6" s="10" t="n"/>
    </row>
    <row r="7">
      <c r="A7" s="3" t="inlineStr">
        <is>
          <t>FASTENER</t>
        </is>
      </c>
      <c r="B7" s="3" t="inlineStr">
        <is>
          <t>M5×10 육각홈 (ISO 4762) + 평와셔 M5</t>
        </is>
      </c>
      <c r="C7" s="3" t="inlineStr">
        <is>
          <t>SUS304 A2</t>
        </is>
      </c>
      <c r="D7" s="3" t="n">
        <v>4</v>
      </c>
      <c r="E7" s="3" t="n">
        <v>2</v>
      </c>
      <c r="F7" s="3">
        <f>D7+E7</f>
        <v/>
      </c>
      <c r="G7" s="3" t="inlineStr">
        <is>
          <t>P04 하면 → P11 탭 B</t>
        </is>
      </c>
      <c r="H7" s="3" t="inlineStr">
        <is>
          <t>직결 옵션 시 → P05 탭 B</t>
        </is>
      </c>
      <c r="I7" s="4" t="n"/>
      <c r="J7" s="9">
        <f>F7*I7</f>
        <v/>
      </c>
      <c r="K7" s="10" t="n"/>
    </row>
    <row r="8">
      <c r="A8" s="3" t="inlineStr">
        <is>
          <t>FASTENER</t>
        </is>
      </c>
      <c r="B8" s="3" t="inlineStr">
        <is>
          <t>M8×16 육각홈 (ISO 4762) + 평와셔 M8 (ISO 7089)</t>
        </is>
      </c>
      <c r="C8" s="3" t="inlineStr">
        <is>
          <t>SUS304 A2</t>
        </is>
      </c>
      <c r="D8" s="3" t="n">
        <v>4</v>
      </c>
      <c r="E8" s="3" t="n">
        <v>2</v>
      </c>
      <c r="F8" s="3">
        <f>D8+E8</f>
        <v/>
      </c>
      <c r="G8" s="3" t="inlineStr">
        <is>
          <t>레일 이어 슬롯</t>
        </is>
      </c>
      <c r="H8" s="3" t="inlineStr">
        <is>
          <t>규격·길이 = 레일 확인 후 (HOLD 2)</t>
        </is>
      </c>
      <c r="I8" s="4" t="n"/>
      <c r="J8" s="9">
        <f>F8*I8</f>
        <v/>
      </c>
      <c r="K8" s="10" t="n"/>
    </row>
    <row r="9">
      <c r="A9" s="3" t="inlineStr">
        <is>
          <t>FASTENER</t>
        </is>
      </c>
      <c r="B9" s="3" t="inlineStr">
        <is>
          <t>SCOUT 레일 T-너트 M8</t>
        </is>
      </c>
      <c r="C9" s="3" t="inlineStr">
        <is>
          <t>레일 규격 따름</t>
        </is>
      </c>
      <c r="D9" s="3" t="n">
        <v>4</v>
      </c>
      <c r="E9" s="3" t="n">
        <v>2</v>
      </c>
      <c r="F9" s="3">
        <f>D9+E9</f>
        <v/>
      </c>
      <c r="G9" s="3" t="inlineStr">
        <is>
          <t>레일</t>
        </is>
      </c>
      <c r="H9" s="3" t="inlineStr">
        <is>
          <t>HOLD 2 — 레일 피치·홈 폭 확인</t>
        </is>
      </c>
      <c r="I9" s="4" t="n"/>
      <c r="J9" s="9">
        <f>F9*I9</f>
        <v/>
      </c>
      <c r="K9" s="10" t="n"/>
    </row>
    <row r="10">
      <c r="A10" s="3" t="inlineStr">
        <is>
          <t>FASTENER</t>
        </is>
      </c>
      <c r="B10" s="3" t="inlineStr">
        <is>
          <t>M3×10 육각홈 + M3 나일록 너트 + 와셔</t>
        </is>
      </c>
      <c r="C10" s="3" t="inlineStr">
        <is>
          <t>SUS304 A2</t>
        </is>
      </c>
      <c r="D10" s="3" t="n">
        <v>6</v>
      </c>
      <c r="E10" s="3" t="n">
        <v>4</v>
      </c>
      <c r="F10" s="3">
        <f>D10+E10</f>
        <v/>
      </c>
      <c r="G10" s="3" t="inlineStr">
        <is>
          <t>D-size 커넥터 ×3</t>
        </is>
      </c>
      <c r="H10" s="3" t="inlineStr"/>
      <c r="I10" s="4" t="n"/>
      <c r="J10" s="9">
        <f>F10*I10</f>
        <v/>
      </c>
      <c r="K10" s="10" t="n"/>
    </row>
    <row r="11">
      <c r="A11" s="3" t="inlineStr">
        <is>
          <t>FASTENER</t>
        </is>
      </c>
      <c r="B11" s="3" t="inlineStr">
        <is>
          <t>M4 육각 스탠드오프 M-F 25 (수 6)</t>
        </is>
      </c>
      <c r="C11" s="3" t="inlineStr">
        <is>
          <t>Al 또는 황동</t>
        </is>
      </c>
      <c r="D11" s="3" t="n">
        <v>4</v>
      </c>
      <c r="E11" s="3" t="n">
        <v>0</v>
      </c>
      <c r="F11" s="3">
        <f>D11+E11</f>
        <v/>
      </c>
      <c r="G11" s="3" t="inlineStr">
        <is>
          <t>AGX 트레이</t>
        </is>
      </c>
      <c r="H11" s="3" t="inlineStr">
        <is>
          <t>30/35는 B0473 fit check 결과 (HOLD 5)</t>
        </is>
      </c>
      <c r="I11" s="4" t="n"/>
      <c r="J11" s="9">
        <f>F11*I11</f>
        <v/>
      </c>
      <c r="K11" s="10" t="n"/>
    </row>
    <row r="12">
      <c r="A12" s="3" t="inlineStr">
        <is>
          <t>FASTENER</t>
        </is>
      </c>
      <c r="B12" s="3" t="inlineStr">
        <is>
          <t>M4 육각 스탠드오프 M-F 30 / 35</t>
        </is>
      </c>
      <c r="C12" s="3" t="inlineStr">
        <is>
          <t>Al 또는 황동</t>
        </is>
      </c>
      <c r="D12" s="3" t="n">
        <v>8</v>
      </c>
      <c r="E12" s="3" t="n">
        <v>0</v>
      </c>
      <c r="F12" s="3">
        <f>D12+E12</f>
        <v/>
      </c>
      <c r="G12" s="3" t="inlineStr">
        <is>
          <t>AGX 트레이 높이 조정</t>
        </is>
      </c>
      <c r="H12" s="3" t="inlineStr">
        <is>
          <t>옵션</t>
        </is>
      </c>
      <c r="I12" s="4" t="n"/>
      <c r="J12" s="9">
        <f>F12*I12</f>
        <v/>
      </c>
      <c r="K12" s="10" t="n"/>
    </row>
    <row r="13">
      <c r="A13" s="3" t="inlineStr">
        <is>
          <t>FASTENER</t>
        </is>
      </c>
      <c r="B13" s="3" t="inlineStr">
        <is>
          <t>블라인드 리벳 Ø3.2 돔헤드, 그립 3.0~4.8</t>
        </is>
      </c>
      <c r="C13" s="3" t="inlineStr">
        <is>
          <t>Al/Al</t>
        </is>
      </c>
      <c r="D13" s="3" t="n">
        <v>12</v>
      </c>
      <c r="E13" s="3" t="n">
        <v>8</v>
      </c>
      <c r="F13" s="3">
        <f>D13+E13</f>
        <v/>
      </c>
      <c r="G13" s="3" t="inlineStr">
        <is>
          <t>벽 스플라이스</t>
        </is>
      </c>
      <c r="H13" s="3" t="inlineStr">
        <is>
          <t>제작사 조립 시 제작사 지급 가능</t>
        </is>
      </c>
      <c r="I13" s="4" t="n"/>
      <c r="J13" s="9">
        <f>F13*I13</f>
        <v/>
      </c>
      <c r="K13" s="10" t="n"/>
    </row>
    <row r="14">
      <c r="A14" s="3" t="inlineStr">
        <is>
          <t>FASTENER</t>
        </is>
      </c>
      <c r="B14" s="3" t="inlineStr">
        <is>
          <t>M4 육각 스탠드오프 M-F 10 (수 6)</t>
        </is>
      </c>
      <c r="C14" s="3" t="inlineStr">
        <is>
          <t>Al 또는 황동</t>
        </is>
      </c>
      <c r="D14" s="3" t="n">
        <v>6</v>
      </c>
      <c r="E14" s="3" t="n">
        <v>2</v>
      </c>
      <c r="F14" s="3">
        <f>D14+E14</f>
        <v/>
      </c>
      <c r="G14" s="3" t="inlineStr">
        <is>
          <t>P10 전장판</t>
        </is>
      </c>
      <c r="H14" s="3" t="inlineStr"/>
      <c r="I14" s="4" t="n"/>
      <c r="J14" s="9">
        <f>F14*I14</f>
        <v/>
      </c>
      <c r="K14" s="10" t="n"/>
    </row>
    <row r="15">
      <c r="A15" s="3" t="inlineStr">
        <is>
          <t>FASTENER</t>
        </is>
      </c>
      <c r="B15" s="3" t="inlineStr">
        <is>
          <t>M4×8 버튼헤드 (ISO 7380)</t>
        </is>
      </c>
      <c r="C15" s="3" t="inlineStr">
        <is>
          <t>SUS304 A2</t>
        </is>
      </c>
      <c r="D15" s="3" t="n">
        <v>6</v>
      </c>
      <c r="E15" s="3" t="n">
        <v>2</v>
      </c>
      <c r="F15" s="3">
        <f>D15+E15</f>
        <v/>
      </c>
      <c r="G15" s="3" t="inlineStr">
        <is>
          <t>P10 → 스탠드오프</t>
        </is>
      </c>
      <c r="H15" s="3" t="inlineStr"/>
      <c r="I15" s="4" t="n"/>
      <c r="J15" s="9">
        <f>F15*I15</f>
        <v/>
      </c>
      <c r="K15" s="10" t="n"/>
    </row>
    <row r="16">
      <c r="A16" s="3" t="inlineStr">
        <is>
          <t>FASTENER</t>
        </is>
      </c>
      <c r="B16" s="3" t="inlineStr">
        <is>
          <t>M3 볼트 + 나일론 스페이서 + 나일록 너트 키트</t>
        </is>
      </c>
      <c r="C16" s="3" t="inlineStr">
        <is>
          <t>Nylon/SUS</t>
        </is>
      </c>
      <c r="D16" s="3" t="n">
        <v>1</v>
      </c>
      <c r="E16" s="3" t="n">
        <v>0</v>
      </c>
      <c r="F16" s="3">
        <f>D16+E16</f>
        <v/>
      </c>
      <c r="G16" s="3" t="inlineStr">
        <is>
          <t>P10 부품 (DC/DC, CAN Pal, WAGO, 5G)</t>
        </is>
      </c>
      <c r="H16" s="3" t="inlineStr">
        <is>
          <t>M3 6~20mm</t>
        </is>
      </c>
      <c r="I16" s="4" t="n"/>
      <c r="J16" s="9">
        <f>F16*I16</f>
        <v/>
      </c>
      <c r="K16" s="10" t="n"/>
    </row>
    <row r="17">
      <c r="A17" s="3" t="inlineStr">
        <is>
          <t>FASTENER</t>
        </is>
      </c>
      <c r="B17" s="3" t="inlineStr">
        <is>
          <t>M3×8 육각홈 (OS1 장착)</t>
        </is>
      </c>
      <c r="C17" s="3" t="inlineStr">
        <is>
          <t>SUS / 12.9</t>
        </is>
      </c>
      <c r="D17" s="3" t="n">
        <v>4</v>
      </c>
      <c r="E17" s="3" t="n">
        <v>2</v>
      </c>
      <c r="F17" s="3">
        <f>D17+E17</f>
        <v/>
      </c>
      <c r="G17" s="3" t="inlineStr">
        <is>
          <t>OS1 → P05</t>
        </is>
      </c>
      <c r="H17" s="3" t="inlineStr">
        <is>
          <t>길이: OS1 나사 깊이 확인 (HOLD 3)</t>
        </is>
      </c>
      <c r="I17" s="4" t="n"/>
      <c r="J17" s="9">
        <f>F17*I17</f>
        <v/>
      </c>
      <c r="K17" s="10" t="n"/>
    </row>
    <row r="18">
      <c r="A18" s="3" t="inlineStr">
        <is>
          <t>FASTENER</t>
        </is>
      </c>
      <c r="B18" s="3" t="inlineStr">
        <is>
          <t>M2×6 + 너트/스페이서 (카메라 모듈)</t>
        </is>
      </c>
      <c r="C18" s="3" t="inlineStr">
        <is>
          <t>SUS</t>
        </is>
      </c>
      <c r="D18" s="3" t="n">
        <v>24</v>
      </c>
      <c r="E18" s="3" t="n">
        <v>8</v>
      </c>
      <c r="F18" s="3">
        <f>D18+E18</f>
        <v/>
      </c>
      <c r="G18" s="3" t="inlineStr">
        <is>
          <t>B0473 ×6 → P06</t>
        </is>
      </c>
      <c r="H18" s="3" t="inlineStr">
        <is>
          <t>HOLD 4</t>
        </is>
      </c>
      <c r="I18" s="4" t="n"/>
      <c r="J18" s="9">
        <f>F18*I18</f>
        <v/>
      </c>
      <c r="K18" s="10" t="n"/>
    </row>
    <row r="19">
      <c r="A19" s="3" t="inlineStr">
        <is>
          <t>CONNECTOR</t>
        </is>
      </c>
      <c r="B19" s="3" t="inlineStr">
        <is>
          <t>케이블 글랜드 M16×1.5 + 로크너트 (클램프 4.5~10)</t>
        </is>
      </c>
      <c r="C19" s="3" t="inlineStr">
        <is>
          <t>니켈황동 IP68 (예: Lapp SKINTOP MS-M 16)</t>
        </is>
      </c>
      <c r="D19" s="3" t="n">
        <v>1</v>
      </c>
      <c r="E19" s="3" t="n">
        <v>1</v>
      </c>
      <c r="F19" s="3">
        <f>D19+E19</f>
        <v/>
      </c>
      <c r="G19" s="3" t="inlineStr">
        <is>
          <t>P07 — SCOUT 확장 케이블</t>
        </is>
      </c>
      <c r="H19" s="3" t="inlineStr">
        <is>
          <t>케이블 외경 확인</t>
        </is>
      </c>
      <c r="I19" s="4" t="n"/>
      <c r="J19" s="9">
        <f>F19*I19</f>
        <v/>
      </c>
      <c r="K19" s="10" t="n"/>
    </row>
    <row r="20">
      <c r="A20" s="3" t="inlineStr">
        <is>
          <t>CONNECTOR</t>
        </is>
      </c>
      <c r="B20" s="3" t="inlineStr">
        <is>
          <t>분할형 케이블 글랜드 M32 (커넥터 통과형)</t>
        </is>
      </c>
      <c r="C20" s="3" t="inlineStr">
        <is>
          <t>IP54 이상</t>
        </is>
      </c>
      <c r="D20" s="3" t="n">
        <v>1</v>
      </c>
      <c r="E20" s="3" t="n">
        <v>0</v>
      </c>
      <c r="F20" s="3">
        <f>D20+E20</f>
        <v/>
      </c>
      <c r="G20" s="3" t="inlineStr">
        <is>
          <t>P04 — OS1 케이블</t>
        </is>
      </c>
      <c r="H20" s="3" t="inlineStr">
        <is>
          <t>OS1 케이블 외경/커넥터 확인</t>
        </is>
      </c>
      <c r="I20" s="4" t="n"/>
      <c r="J20" s="9">
        <f>F20*I20</f>
        <v/>
      </c>
      <c r="K20" s="10" t="n"/>
    </row>
    <row r="21">
      <c r="A21" s="3" t="inlineStr">
        <is>
          <t>CONNECTOR</t>
        </is>
      </c>
      <c r="B21" s="3" t="inlineStr">
        <is>
          <t>etherCON 피드스루 D-size (Neutrik NE8FDP 또는 동등)</t>
        </is>
      </c>
      <c r="C21" s="3" t="inlineStr">
        <is>
          <t>Cat6</t>
        </is>
      </c>
      <c r="D21" s="3" t="n">
        <v>1</v>
      </c>
      <c r="E21" s="3" t="n">
        <v>0</v>
      </c>
      <c r="F21" s="3">
        <f>D21+E21</f>
        <v/>
      </c>
      <c r="G21" s="3" t="inlineStr">
        <is>
          <t>P07 D1</t>
        </is>
      </c>
      <c r="H21" s="3" t="inlineStr"/>
      <c r="I21" s="4" t="n"/>
      <c r="J21" s="9">
        <f>F21*I21</f>
        <v/>
      </c>
      <c r="K21" s="10" t="n"/>
    </row>
    <row r="22">
      <c r="A22" s="3" t="inlineStr">
        <is>
          <t>CONNECTOR</t>
        </is>
      </c>
      <c r="B22" s="3" t="inlineStr">
        <is>
          <t>USB 3.0 A↔A 피드스루 D-size (Neutrik NAUSB3 또는 동등)</t>
        </is>
      </c>
      <c r="C22" s="3" t="inlineStr"/>
      <c r="D22" s="3" t="n">
        <v>1</v>
      </c>
      <c r="E22" s="3" t="n">
        <v>0</v>
      </c>
      <c r="F22" s="3">
        <f>D22+E22</f>
        <v/>
      </c>
      <c r="G22" s="3" t="inlineStr">
        <is>
          <t>P07 D2</t>
        </is>
      </c>
      <c r="H22" s="3" t="inlineStr"/>
      <c r="I22" s="4" t="n"/>
      <c r="J22" s="9">
        <f>F22*I22</f>
        <v/>
      </c>
      <c r="K22" s="10" t="n"/>
    </row>
    <row r="23">
      <c r="A23" s="3" t="inlineStr">
        <is>
          <t>CONNECTOR</t>
        </is>
      </c>
      <c r="B23" s="3" t="inlineStr">
        <is>
          <t>D-size 블랭크 플레이트 / 12V DC 잭 D-size</t>
        </is>
      </c>
      <c r="C23" s="3" t="inlineStr"/>
      <c r="D23" s="3" t="n">
        <v>1</v>
      </c>
      <c r="E23" s="3" t="n">
        <v>0</v>
      </c>
      <c r="F23" s="3">
        <f>D23+E23</f>
        <v/>
      </c>
      <c r="G23" s="3" t="inlineStr">
        <is>
          <t>P07 D3</t>
        </is>
      </c>
      <c r="H23" s="3" t="inlineStr">
        <is>
          <t>선택</t>
        </is>
      </c>
      <c r="I23" s="4" t="n"/>
      <c r="J23" s="9">
        <f>F23*I23</f>
        <v/>
      </c>
      <c r="K23" s="10" t="n"/>
    </row>
    <row r="24">
      <c r="A24" s="3" t="inlineStr">
        <is>
          <t>CONNECTOR</t>
        </is>
      </c>
      <c r="B24" s="3" t="inlineStr">
        <is>
          <t>SMA 벌크헤드(F) – U.FL/IPEX 피그테일 15cm</t>
        </is>
      </c>
      <c r="C24" s="3" t="inlineStr">
        <is>
          <t>50Ω</t>
        </is>
      </c>
      <c r="D24" s="3" t="n">
        <v>4</v>
      </c>
      <c r="E24" s="3" t="n">
        <v>0</v>
      </c>
      <c r="F24" s="3">
        <f>D24+E24</f>
        <v/>
      </c>
      <c r="G24" s="3" t="inlineStr">
        <is>
          <t>P07 SMA</t>
        </is>
      </c>
      <c r="H24" s="3" t="inlineStr">
        <is>
          <t>5G 모뎀 확정 후 (HOLD 7)</t>
        </is>
      </c>
      <c r="I24" s="4" t="n"/>
      <c r="J24" s="9">
        <f>F24*I24</f>
        <v/>
      </c>
      <c r="K24" s="10" t="n"/>
    </row>
    <row r="25">
      <c r="A25" s="3" t="inlineStr">
        <is>
          <t>ELECTRICAL</t>
        </is>
      </c>
      <c r="B25" s="3" t="inlineStr">
        <is>
          <t>SCOUT 확장 케이블: 4핀 항공 메이팅 플러그 + 4C 케이블 (AWG18 ×2 + 트위스트 CAN) 1 m</t>
        </is>
      </c>
      <c r="C25" s="3" t="inlineStr">
        <is>
          <t>플러그 규격 위고 확인</t>
        </is>
      </c>
      <c r="D25" s="3" t="n">
        <v>1</v>
      </c>
      <c r="E25" s="3" t="n">
        <v>0</v>
      </c>
      <c r="F25" s="3">
        <f>D25+E25</f>
        <v/>
      </c>
      <c r="G25" s="3" t="inlineStr">
        <is>
          <t>H1</t>
        </is>
      </c>
      <c r="H25" s="3" t="inlineStr">
        <is>
          <t>확보 방법 위고 문의 중 (구매 또는 KETI 납땜)</t>
        </is>
      </c>
      <c r="I25" s="4" t="n"/>
      <c r="J25" s="9">
        <f>F25*I25</f>
        <v/>
      </c>
      <c r="K25" s="10" t="n"/>
    </row>
    <row r="26">
      <c r="A26" s="3" t="inlineStr">
        <is>
          <t>CABLE</t>
        </is>
      </c>
      <c r="B26" s="3" t="inlineStr">
        <is>
          <t>Arducam 15-22pin FPC 60cm</t>
        </is>
      </c>
      <c r="C26" s="3" t="inlineStr">
        <is>
          <t>Arducam 정품</t>
        </is>
      </c>
      <c r="D26" s="3" t="n">
        <v>2</v>
      </c>
      <c r="E26" s="3" t="n">
        <v>1</v>
      </c>
      <c r="F26" s="3">
        <f>D26+E26</f>
        <v/>
      </c>
      <c r="G26" s="3" t="inlineStr">
        <is>
          <t>먼 2면 카메라</t>
        </is>
      </c>
      <c r="H26" s="3" t="inlineStr">
        <is>
          <t>기본 30cm ×6 동봉, 60cm 별도</t>
        </is>
      </c>
      <c r="I26" s="4" t="n"/>
      <c r="J26" s="9">
        <f>F26*I26</f>
        <v/>
      </c>
      <c r="K26" s="10" t="n"/>
    </row>
    <row r="27">
      <c r="A27" s="3" t="inlineStr">
        <is>
          <t>ELECTRICAL</t>
        </is>
      </c>
      <c r="B27" s="3" t="inlineStr">
        <is>
          <t>ATO 인라인 퓨즈홀더 AWG16~18 + ATO 5A 퓨즈</t>
        </is>
      </c>
      <c r="C27" s="3" t="inlineStr"/>
      <c r="D27" s="3" t="n">
        <v>1</v>
      </c>
      <c r="E27" s="3" t="n">
        <v>2</v>
      </c>
      <c r="F27" s="3">
        <f>D27+E27</f>
        <v/>
      </c>
      <c r="G27" s="3" t="inlineStr">
        <is>
          <t>24V 인입</t>
        </is>
      </c>
      <c r="H27" s="3" t="inlineStr">
        <is>
          <t>퓨즈 예비 2</t>
        </is>
      </c>
      <c r="I27" s="4" t="n"/>
      <c r="J27" s="9">
        <f>F27*I27</f>
        <v/>
      </c>
      <c r="K27" s="10" t="n"/>
    </row>
    <row r="28">
      <c r="A28" s="3" t="inlineStr">
        <is>
          <t>ELECTRICAL</t>
        </is>
      </c>
      <c r="B28" s="3" t="inlineStr">
        <is>
          <t>WAGO 221-413 레버 커넥터</t>
        </is>
      </c>
      <c r="C28" s="3" t="inlineStr">
        <is>
          <t>3P</t>
        </is>
      </c>
      <c r="D28" s="3" t="n">
        <v>4</v>
      </c>
      <c r="E28" s="3" t="n">
        <v>2</v>
      </c>
      <c r="F28" s="3">
        <f>D28+E28</f>
        <v/>
      </c>
      <c r="G28" s="3" t="inlineStr">
        <is>
          <t>24V/GND 분배</t>
        </is>
      </c>
      <c r="H28" s="3" t="inlineStr"/>
      <c r="I28" s="4" t="n"/>
      <c r="J28" s="9">
        <f>F28*I28</f>
        <v/>
      </c>
      <c r="K28" s="10" t="n"/>
    </row>
    <row r="29">
      <c r="A29" s="3" t="inlineStr">
        <is>
          <t>ELECTRICAL</t>
        </is>
      </c>
      <c r="B29" s="3" t="inlineStr">
        <is>
          <t>전선 AWG18 적/흑</t>
        </is>
      </c>
      <c r="C29" s="3" t="inlineStr">
        <is>
          <t>UL1015</t>
        </is>
      </c>
      <c r="D29" s="3" t="n">
        <v>3</v>
      </c>
      <c r="E29" s="3" t="n">
        <v>0</v>
      </c>
      <c r="F29" s="3">
        <f>D29+E29</f>
        <v/>
      </c>
      <c r="G29" s="3" t="inlineStr">
        <is>
          <t>전원 (m)</t>
        </is>
      </c>
      <c r="H29" s="3" t="inlineStr">
        <is>
          <t>단위 m</t>
        </is>
      </c>
      <c r="I29" s="4" t="n"/>
      <c r="J29" s="9">
        <f>F29*I29</f>
        <v/>
      </c>
      <c r="K29" s="10" t="n"/>
    </row>
    <row r="30">
      <c r="A30" s="3" t="inlineStr">
        <is>
          <t>ELECTRICAL</t>
        </is>
      </c>
      <c r="B30" s="3" t="inlineStr">
        <is>
          <t>트위스트 페어 AWG24</t>
        </is>
      </c>
      <c r="C30" s="3" t="inlineStr"/>
      <c r="D30" s="3" t="n">
        <v>1</v>
      </c>
      <c r="E30" s="3" t="n">
        <v>0</v>
      </c>
      <c r="F30" s="3">
        <f>D30+E30</f>
        <v/>
      </c>
      <c r="G30" s="3" t="inlineStr">
        <is>
          <t>CAN (m)</t>
        </is>
      </c>
      <c r="H30" s="3" t="inlineStr">
        <is>
          <t>단위 m</t>
        </is>
      </c>
      <c r="I30" s="4" t="n"/>
      <c r="J30" s="9">
        <f>F30*I30</f>
        <v/>
      </c>
      <c r="K30" s="10" t="n"/>
    </row>
    <row r="31">
      <c r="A31" s="3" t="inlineStr">
        <is>
          <t>ELECTRICAL</t>
        </is>
      </c>
      <c r="B31" s="3" t="inlineStr">
        <is>
          <t>DC 배럴 플러그 5.5/2.5 피그테일</t>
        </is>
      </c>
      <c r="C31" s="3" t="inlineStr">
        <is>
          <t>센터 +</t>
        </is>
      </c>
      <c r="D31" s="3" t="n">
        <v>1</v>
      </c>
      <c r="E31" s="3" t="n">
        <v>1</v>
      </c>
      <c r="F31" s="3">
        <f>D31+E31</f>
        <v/>
      </c>
      <c r="G31" s="3" t="inlineStr">
        <is>
          <t>AGX J41</t>
        </is>
      </c>
      <c r="H31" s="3" t="inlineStr"/>
      <c r="I31" s="4" t="n"/>
      <c r="J31" s="9">
        <f>F31*I31</f>
        <v/>
      </c>
      <c r="K31" s="10" t="n"/>
    </row>
    <row r="32">
      <c r="A32" s="3" t="inlineStr">
        <is>
          <t>ELECTRICAL</t>
        </is>
      </c>
      <c r="B32" s="3" t="inlineStr">
        <is>
          <t>DC/DC 24→12V (기존품 사양 미달 시에만 대체)</t>
        </is>
      </c>
      <c r="C32" s="3" t="inlineStr">
        <is>
          <t>입력 19~36V, 12V 연속 ≥8A (예: Mean Well SD-100B-12)</t>
        </is>
      </c>
      <c r="D32" s="3" t="n">
        <v>0</v>
      </c>
      <c r="E32" s="3" t="n">
        <v>0</v>
      </c>
      <c r="F32" s="3">
        <f>D32+E32</f>
        <v/>
      </c>
      <c r="G32" s="3" t="inlineStr">
        <is>
          <t>P10 장착</t>
        </is>
      </c>
      <c r="H32" s="3" t="inlineStr">
        <is>
          <t>HOLD 6 — 기존품 실측 후 수량 결정</t>
        </is>
      </c>
      <c r="I32" s="4" t="n"/>
      <c r="J32" s="9">
        <f>F32*I32</f>
        <v/>
      </c>
      <c r="K32" s="10" t="n"/>
    </row>
    <row r="33">
      <c r="A33" s="3" t="inlineStr">
        <is>
          <t>ELECTRICAL</t>
        </is>
      </c>
      <c r="B33" s="3" t="inlineStr">
        <is>
          <t>듀폰 점퍼 F-F 20cm</t>
        </is>
      </c>
      <c r="C33" s="3" t="inlineStr"/>
      <c r="D33" s="3" t="n">
        <v>4</v>
      </c>
      <c r="E33" s="3" t="n">
        <v>4</v>
      </c>
      <c r="F33" s="3">
        <f>D33+E33</f>
        <v/>
      </c>
      <c r="G33" s="3" t="inlineStr">
        <is>
          <t>CAN Pal ↔ J30</t>
        </is>
      </c>
      <c r="H33" s="3" t="inlineStr"/>
      <c r="I33" s="4" t="n"/>
      <c r="J33" s="9">
        <f>F33*I33</f>
        <v/>
      </c>
      <c r="K33" s="10" t="n"/>
    </row>
    <row r="34">
      <c r="A34" s="3" t="inlineStr">
        <is>
          <t>MISC</t>
        </is>
      </c>
      <c r="B34" s="3" t="inlineStr">
        <is>
          <t>EPDM 폼 테이프 10×3 (점착)</t>
        </is>
      </c>
      <c r="C34" s="3" t="inlineStr"/>
      <c r="D34" s="3" t="n">
        <v>2</v>
      </c>
      <c r="E34" s="3" t="n">
        <v>0</v>
      </c>
      <c r="F34" s="3">
        <f>D34+E34</f>
        <v/>
      </c>
      <c r="G34" s="3" t="inlineStr">
        <is>
          <t>커버·하판 가스켓 (m)</t>
        </is>
      </c>
      <c r="H34" s="3" t="inlineStr">
        <is>
          <t>옵션 방진</t>
        </is>
      </c>
      <c r="I34" s="4" t="n"/>
      <c r="J34" s="9">
        <f>F34*I34</f>
        <v/>
      </c>
      <c r="K34" s="10" t="n"/>
    </row>
    <row r="35">
      <c r="A35" s="3" t="inlineStr">
        <is>
          <t>MISC</t>
        </is>
      </c>
      <c r="B35" s="3" t="inlineStr">
        <is>
          <t>EPDM 패드 1t 110×110</t>
        </is>
      </c>
      <c r="C35" s="3" t="inlineStr"/>
      <c r="D35" s="3" t="n">
        <v>1</v>
      </c>
      <c r="E35" s="3" t="n">
        <v>0</v>
      </c>
      <c r="F35" s="3">
        <f>D35+E35</f>
        <v/>
      </c>
      <c r="G35" s="3" t="inlineStr">
        <is>
          <t>AGX 트레이</t>
        </is>
      </c>
      <c r="H35" s="3" t="inlineStr"/>
      <c r="I35" s="4" t="n"/>
      <c r="J35" s="9">
        <f>F35*I35</f>
        <v/>
      </c>
      <c r="K35" s="10" t="n"/>
    </row>
    <row r="36">
      <c r="A36" s="3" t="inlineStr">
        <is>
          <t>MISC</t>
        </is>
      </c>
      <c r="B36" s="3" t="inlineStr">
        <is>
          <t>벨크로 스트랩 25mm × 300</t>
        </is>
      </c>
      <c r="C36" s="3" t="inlineStr"/>
      <c r="D36" s="3" t="n">
        <v>2</v>
      </c>
      <c r="E36" s="3" t="n">
        <v>1</v>
      </c>
      <c r="F36" s="3">
        <f>D36+E36</f>
        <v/>
      </c>
      <c r="G36" s="3" t="inlineStr">
        <is>
          <t>AGX 고정</t>
        </is>
      </c>
      <c r="H36" s="3" t="inlineStr"/>
      <c r="I36" s="4" t="n"/>
      <c r="J36" s="9">
        <f>F36*I36</f>
        <v/>
      </c>
      <c r="K36" s="10" t="n"/>
    </row>
    <row r="37">
      <c r="A37" s="3" t="inlineStr">
        <is>
          <t>MISC</t>
        </is>
      </c>
      <c r="B37" s="3" t="inlineStr">
        <is>
          <t>케이블 타이 + 타이 마운트 (M3)</t>
        </is>
      </c>
      <c r="C37" s="3" t="inlineStr"/>
      <c r="D37" s="3" t="n">
        <v>20</v>
      </c>
      <c r="E37" s="3" t="n">
        <v>0</v>
      </c>
      <c r="F37" s="3">
        <f>D37+E37</f>
        <v/>
      </c>
      <c r="G37" s="3" t="inlineStr">
        <is>
          <t>하네스</t>
        </is>
      </c>
      <c r="H37" s="3" t="inlineStr"/>
      <c r="I37" s="4" t="n"/>
      <c r="J37" s="9">
        <f>F37*I37</f>
        <v/>
      </c>
      <c r="K37" s="10" t="n"/>
    </row>
    <row r="38">
      <c r="A38" s="3" t="inlineStr">
        <is>
          <t>MISC</t>
        </is>
      </c>
      <c r="B38" s="3" t="inlineStr">
        <is>
          <t>나사 고착제 중강도 (Loctite 243 등)</t>
        </is>
      </c>
      <c r="C38" s="3" t="inlineStr"/>
      <c r="D38" s="3" t="n">
        <v>1</v>
      </c>
      <c r="E38" s="3" t="n">
        <v>0</v>
      </c>
      <c r="F38" s="3">
        <f>D38+E38</f>
        <v/>
      </c>
      <c r="G38" s="3" t="inlineStr"/>
      <c r="H38" s="3" t="inlineStr"/>
      <c r="I38" s="4" t="n"/>
      <c r="J38" s="9">
        <f>F38*I38</f>
        <v/>
      </c>
      <c r="K38" s="10" t="n"/>
    </row>
    <row r="39">
      <c r="A39" s="3" t="inlineStr">
        <is>
          <t>OPTION</t>
        </is>
      </c>
      <c r="B39" s="3" t="inlineStr">
        <is>
          <t>OPT-2 벤트 방진 메쉬 (SUS 100mesh, 내측 접착)</t>
        </is>
      </c>
      <c r="C39" s="3" t="inlineStr"/>
      <c r="D39" s="3" t="n">
        <v>4</v>
      </c>
      <c r="E39" s="3" t="n">
        <v>0</v>
      </c>
      <c r="F39" s="3">
        <f>D39+E39</f>
        <v/>
      </c>
      <c r="G39" s="3" t="inlineStr">
        <is>
          <t>C1/C3/C4/C6 벤트</t>
        </is>
      </c>
      <c r="H39" s="3" t="inlineStr">
        <is>
          <t>분진 환경 시</t>
        </is>
      </c>
      <c r="I39" s="4" t="n"/>
      <c r="J39" s="9">
        <f>F39*I39</f>
        <v/>
      </c>
      <c r="K39" s="10" t="n"/>
    </row>
    <row r="40">
      <c r="B40" s="6" t="inlineStr">
        <is>
          <t>합계</t>
        </is>
      </c>
      <c r="J40" s="8">
        <f>SUM(J4:J39)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0" customWidth="1" min="3" max="3"/>
    <col width="24" customWidth="1" min="4" max="4"/>
    <col width="10" customWidth="1" min="5" max="5"/>
    <col width="12" customWidth="1" min="6" max="6"/>
  </cols>
  <sheetData>
    <row r="1">
      <c r="A1" s="2" t="inlineStr">
        <is>
          <t>#</t>
        </is>
      </c>
      <c r="B1" s="2" t="inlineStr">
        <is>
          <t>HOLD 항목</t>
        </is>
      </c>
      <c r="C1" s="2" t="inlineStr">
        <is>
          <t>해제 방법</t>
        </is>
      </c>
      <c r="D1" s="2" t="inlineStr">
        <is>
          <t>판금 발주 영향</t>
        </is>
      </c>
      <c r="E1" s="2" t="inlineStr">
        <is>
          <t>담당</t>
        </is>
      </c>
      <c r="F1" s="2" t="inlineStr">
        <is>
          <t>완료일</t>
        </is>
      </c>
    </row>
    <row r="2">
      <c r="A2" s="3" t="n">
        <v>1</v>
      </c>
      <c r="B2" s="3" t="inlineStr">
        <is>
          <t>SCOUT 4핀 항공 메이팅 플러그 규격</t>
        </is>
      </c>
      <c r="C2" s="3" t="inlineStr">
        <is>
          <t>위고 문의 → 플러그+케이블 확보 후 M16 글랜드 통과</t>
        </is>
      </c>
      <c r="D2" s="3" t="inlineStr">
        <is>
          <t>없음</t>
        </is>
      </c>
      <c r="E2" s="3" t="inlineStr">
        <is>
          <t>위고/KETI</t>
        </is>
      </c>
      <c r="F2" s="3" t="inlineStr"/>
    </row>
    <row r="3">
      <c r="A3" s="3" t="n">
        <v>2</v>
      </c>
      <c r="B3" s="3" t="inlineStr">
        <is>
          <t>레일 피치 230 / 홈 폭 / T-너트</t>
        </is>
      </c>
      <c r="C3" s="3" t="inlineStr">
        <is>
          <t>매뉴얼 5.2 도면·실측·위고 회신으로 확정</t>
        </is>
      </c>
      <c r="D3" s="3" t="inlineStr">
        <is>
          <t>P01 슬롯 가공 전 필수</t>
        </is>
      </c>
      <c r="E3" s="3" t="inlineStr">
        <is>
          <t>KETI</t>
        </is>
      </c>
      <c r="F3" s="3" t="inlineStr"/>
    </row>
    <row r="4">
      <c r="A4" s="3" t="n">
        <v>3</v>
      </c>
      <c r="B4" s="3" t="inlineStr">
        <is>
          <t>OS1 4×M3 + Ø2 핀 패턴</t>
        </is>
      </c>
      <c r="C4" s="3" t="inlineStr">
        <is>
          <t>보유 OS1 실측/템플릿 → P05 후가공</t>
        </is>
      </c>
      <c r="D4" s="3" t="inlineStr">
        <is>
          <t>P05 블랭크 납품</t>
        </is>
      </c>
      <c r="E4" s="3" t="inlineStr">
        <is>
          <t>KETI</t>
        </is>
      </c>
      <c r="F4" s="3" t="inlineStr"/>
    </row>
    <row r="5">
      <c r="A5" s="3" t="n">
        <v>4</v>
      </c>
      <c r="B5" s="3" t="inlineStr">
        <is>
          <t>B0473 홀더 홀/렌즈 위치</t>
        </is>
      </c>
      <c r="C5" s="3" t="inlineStr">
        <is>
          <t>납품 키트 실측 → P06 후가공</t>
        </is>
      </c>
      <c r="D5" s="3" t="inlineStr">
        <is>
          <t>P06 블랭크 납품</t>
        </is>
      </c>
      <c r="E5" s="3" t="inlineStr">
        <is>
          <t>KETI</t>
        </is>
      </c>
      <c r="F5" s="3" t="inlineStr"/>
    </row>
    <row r="6">
      <c r="A6" s="3" t="n">
        <v>5</v>
      </c>
      <c r="B6" s="3" t="inlineStr">
        <is>
          <t>B0473 어댑터 FIT CHECK</t>
        </is>
      </c>
      <c r="C6" s="3" t="inlineStr">
        <is>
          <t>AGX 카메라 커넥터(J509) 결합 후 하부 돌출/케이블 경로 확인 → P08 70×70 유지·축소, 스탠드오프 25/30/35</t>
        </is>
      </c>
      <c r="D6" s="3" t="inlineStr">
        <is>
          <t>없음 (P08 그대로 가공)</t>
        </is>
      </c>
      <c r="E6" s="3" t="inlineStr">
        <is>
          <t>KETI</t>
        </is>
      </c>
      <c r="F6" s="3" t="inlineStr"/>
    </row>
    <row r="7">
      <c r="A7" s="3" t="n">
        <v>6</v>
      </c>
      <c r="B7" s="3" t="inlineStr">
        <is>
          <t>기존 24→12V DC/DC 실물 사양</t>
        </is>
      </c>
      <c r="C7" s="3" t="inlineStr">
        <is>
          <t>12V 연속 ≥8A, 피크 ≥10A, 효율 ≥90% 확인 전 전원 확정 금지. 미달 시 AGX만 24→19V 별도 변환기 가능 (AGX 입력 7~20V, 60W ≈ 3.2A)</t>
        </is>
      </c>
      <c r="D7" s="3" t="inlineStr">
        <is>
          <t>없음 (P10 장착)</t>
        </is>
      </c>
      <c r="E7" s="3" t="inlineStr">
        <is>
          <t>KETI</t>
        </is>
      </c>
      <c r="F7" s="3" t="inlineStr"/>
    </row>
    <row r="8">
      <c r="A8" s="3" t="n">
        <v>7</v>
      </c>
      <c r="B8" s="3" t="inlineStr">
        <is>
          <t>5G 모뎀/안테나</t>
        </is>
      </c>
      <c r="C8" s="3" t="inlineStr">
        <is>
          <t>모델 확정 → P10 장착, SMA 4홀 기가공</t>
        </is>
      </c>
      <c r="D8" s="3" t="inlineStr">
        <is>
          <t>없음</t>
        </is>
      </c>
      <c r="E8" s="3" t="inlineStr">
        <is>
          <t>KETI</t>
        </is>
      </c>
      <c r="F8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1" t="inlineStr">
        <is>
          <t>[견적 요청] KETI 모빌리티플랫폼연구센터 — SCOUT MINI 센서/컴퓨트 박스 판금 (REV 9, 최종)</t>
        </is>
      </c>
    </row>
    <row r="2">
      <c r="A2" s="12" t="inlineStr"/>
    </row>
    <row r="3">
      <c r="A3" s="12" t="inlineStr">
        <is>
          <t>1. 품목: P01~P11 (FAB_PARTS 시트), 1세트 (P06 8개, P09 2개). 옵션 수량 3세트 / 5세트 단가 병기 요청.</t>
        </is>
      </c>
    </row>
    <row r="4">
      <c r="A4" s="12" t="inlineStr">
        <is>
          <t>2. 재질: AL5052-H32 2.0T / 3.0T, AL6061-T6 5.0T (P05), AL6061-T6 25T (P11, CNC).</t>
        </is>
      </c>
    </row>
    <row r="5">
      <c r="A5" s="12" t="inlineStr">
        <is>
          <t>3. 공정: 레이저 → PEM 압입 (PennEngineering CLSS 또는 동등, 62개) → 절곡 → 벽 링 리벳 조립 (P02+P03+P09). P05/P11 탭, P11 CNC.</t>
        </is>
      </c>
    </row>
    <row r="6">
      <c r="A6" s="12" t="inlineStr">
        <is>
          <t>4. 표면: [A] 무처리, [B] 흑색 분체도장 — 분리 견적. 열접촉면 BARE: P05 상면 Ø100·하면, P11 전체, P04 140×140.</t>
        </is>
      </c>
    </row>
    <row r="7">
      <c r="A7" s="12" t="inlineStr">
        <is>
          <t>5. 첨부: 도면 PDF 10매, DXF 11종 (외형·홀 MASTER), STEP (조립/부품), 본 BOM.</t>
        </is>
      </c>
    </row>
    <row r="8">
      <c r="A8" s="12" t="inlineStr">
        <is>
          <t>6. 요청: 견적서 (A/B), 납기, 제작사 BD 반영 재전개 DXF 사전 회신, 첫 절곡품(벽 1면) 치수 확인 후 본 가공.</t>
        </is>
      </c>
    </row>
    <row r="9">
      <c r="A9" s="12" t="inlineStr">
        <is>
          <t>7. 검사: 도면 SHEET 9 출하검사 항목 (AF300±0.5, H125±0.3, 플랜지 19±0.3, PEM 전수, 가조립 체결).</t>
        </is>
      </c>
    </row>
    <row r="10">
      <c r="A10" s="12" t="inlineStr">
        <is>
          <t>8. 제외: 체결류·커넥터·장치 (PURCHASED 시트, 별도 구매). 장치 종속 홀 (HOLD) 가공 제외.</t>
        </is>
      </c>
    </row>
    <row r="11">
      <c r="A11" s="12" t="inlineStr">
        <is>
          <t>9. 문의: hwkim3@keti.re.kr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2026-10-02T07:48:40Z</dcterms:created>
  <dcterms:modified xsi:type="dcterms:W3CDTF">2026-10-02T07:48:40Z</dcterms:modified>
</cp:coreProperties>
</file>